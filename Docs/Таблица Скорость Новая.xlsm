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Objects="placeholders" showInkAnnotation="0" codeName="ЭтаКнига" defaultThemeVersion="124226"/>
  <workbookProtection workbookPassword="B37C" lockStructure="1"/>
  <bookViews>
    <workbookView xWindow="-15" yWindow="-15" windowWidth="19440" windowHeight="6315" tabRatio="597" firstSheet="5" activeTab="9"/>
  </bookViews>
  <sheets>
    <sheet name="Стартовый" sheetId="7" r:id="rId1"/>
    <sheet name="Квалификация" sheetId="1" r:id="rId2"/>
    <sheet name="Одна восьмая финала" sheetId="5" r:id="rId3"/>
    <sheet name="Четвертьфинал" sheetId="2" r:id="rId4"/>
    <sheet name="Полуфинал" sheetId="3" r:id="rId5"/>
    <sheet name="Финал" sheetId="4" r:id="rId6"/>
    <sheet name="Итоговый протокол 16 и более" sheetId="8" r:id="rId7"/>
    <sheet name="Итоговый протокол до 16" sheetId="10" r:id="rId8"/>
    <sheet name="Итоговый протокол до 8" sheetId="11" r:id="rId9"/>
    <sheet name="Setup" sheetId="12" r:id="rId10"/>
  </sheets>
  <functionGroups builtInGroupCount="17"/>
  <definedNames>
    <definedName name="_xlnm._FilterDatabase" localSheetId="1" hidden="1">Квалификация!$B$7:$H$38</definedName>
    <definedName name="_xlnm._FilterDatabase" localSheetId="2" hidden="1">'Одна восьмая финала'!$A$7:$J$23</definedName>
    <definedName name="_xlnm._FilterDatabase" localSheetId="5" hidden="1">Финал!$A$8:$I$10</definedName>
    <definedName name="_xlnm._FilterDatabase" localSheetId="3" hidden="1">Четвертьфинал!$A$7:$J$15</definedName>
    <definedName name="CompNameIndex">Setup!$B$3</definedName>
    <definedName name="EndCompDate">Setup!$C$5</definedName>
    <definedName name="EndGroupYearIndex">Setup!$B$7</definedName>
    <definedName name="FLAGS">Setup!$B$2</definedName>
    <definedName name="HideFlags">Setup!$B$1</definedName>
    <definedName name="InitOnSheetFlagsValue">Setup!$D$13</definedName>
    <definedName name="MainJudgeIndex">Setup!$B$8</definedName>
    <definedName name="MainSecretaryIndex">Setup!$B$9</definedName>
    <definedName name="OnSheetFlags">Setup!$B$13</definedName>
    <definedName name="Request">Setup!$C$1</definedName>
    <definedName name="Rw6Index">Setup!$B$10</definedName>
    <definedName name="StartCompDate">Setup!$B$5</definedName>
    <definedName name="TransFlags">Setup!$B$16</definedName>
    <definedName name="Год_рождения">Квалификация!$D$28:$D$38</definedName>
    <definedName name="Команда">Квалификация!$C$8:$C$38</definedName>
    <definedName name="Разряд">Квалификация!$E$28:$E$38</definedName>
    <definedName name="ФИО_участников">Квалификация!$B$8:$B$38</definedName>
  </definedNames>
  <calcPr calcId="145621"/>
</workbook>
</file>

<file path=xl/calcChain.xml><?xml version="1.0" encoding="utf-8"?>
<calcChain xmlns="http://schemas.openxmlformats.org/spreadsheetml/2006/main">
  <c r="G26" i="12" l="1"/>
  <c r="D31" i="12"/>
  <c r="D33" i="12"/>
  <c r="D28" i="12"/>
  <c r="D34" i="12"/>
  <c r="D29" i="12"/>
  <c r="D30" i="12"/>
  <c r="D32" i="12"/>
  <c r="F32" i="12"/>
  <c r="F28" i="12"/>
  <c r="F29" i="12"/>
  <c r="F34" i="12"/>
  <c r="F31" i="12"/>
  <c r="F33" i="12"/>
  <c r="F30" i="12"/>
  <c r="F17" i="12"/>
  <c r="G14" i="12" l="1"/>
  <c r="A1" i="5" l="1"/>
  <c r="G11" i="11"/>
  <c r="G10" i="11"/>
  <c r="G9" i="11"/>
  <c r="G8" i="11"/>
  <c r="G15" i="10"/>
  <c r="G14" i="10"/>
  <c r="G13" i="10"/>
  <c r="G12" i="10"/>
  <c r="G11" i="10"/>
  <c r="G10" i="10"/>
  <c r="G9" i="10"/>
  <c r="G8" i="10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H11" i="11"/>
  <c r="F11" i="11"/>
  <c r="H10" i="11"/>
  <c r="F10" i="11"/>
  <c r="H9" i="11"/>
  <c r="F9" i="11"/>
  <c r="H8" i="11"/>
  <c r="F8" i="11"/>
  <c r="I15" i="10"/>
  <c r="I14" i="10"/>
  <c r="I13" i="10"/>
  <c r="I12" i="10"/>
  <c r="I11" i="10"/>
  <c r="I10" i="10"/>
  <c r="I9" i="10"/>
  <c r="I8" i="10"/>
  <c r="H15" i="10"/>
  <c r="F15" i="10"/>
  <c r="H14" i="10"/>
  <c r="F14" i="10"/>
  <c r="H13" i="10"/>
  <c r="F13" i="10"/>
  <c r="H12" i="10"/>
  <c r="F12" i="10"/>
  <c r="H11" i="10"/>
  <c r="F11" i="10"/>
  <c r="H10" i="10"/>
  <c r="F10" i="10"/>
  <c r="H9" i="10"/>
  <c r="F9" i="10"/>
  <c r="H8" i="10"/>
  <c r="F8" i="10"/>
  <c r="J15" i="8"/>
  <c r="J14" i="8"/>
  <c r="J13" i="8"/>
  <c r="J12" i="8"/>
  <c r="J11" i="8"/>
  <c r="J10" i="8"/>
  <c r="J9" i="8"/>
  <c r="J8" i="8"/>
  <c r="I23" i="8"/>
  <c r="I22" i="8"/>
  <c r="I21" i="8"/>
  <c r="I20" i="8"/>
  <c r="I19" i="8"/>
  <c r="I18" i="8"/>
  <c r="I17" i="8"/>
  <c r="I16" i="8"/>
  <c r="I15" i="8"/>
  <c r="I14" i="8"/>
  <c r="I13" i="8"/>
  <c r="I12" i="8"/>
  <c r="I11" i="8"/>
  <c r="I10" i="8"/>
  <c r="I9" i="8"/>
  <c r="I8" i="8"/>
  <c r="H23" i="8"/>
  <c r="F23" i="8"/>
  <c r="H22" i="8"/>
  <c r="F22" i="8"/>
  <c r="H21" i="8"/>
  <c r="F21" i="8"/>
  <c r="H20" i="8"/>
  <c r="F20" i="8"/>
  <c r="H19" i="8"/>
  <c r="F19" i="8"/>
  <c r="H18" i="8"/>
  <c r="F18" i="8"/>
  <c r="H17" i="8"/>
  <c r="F17" i="8"/>
  <c r="H16" i="8"/>
  <c r="F16" i="8"/>
  <c r="H15" i="8"/>
  <c r="F15" i="8"/>
  <c r="H14" i="8"/>
  <c r="F14" i="8"/>
  <c r="H13" i="8"/>
  <c r="F13" i="8"/>
  <c r="H12" i="8"/>
  <c r="F12" i="8"/>
  <c r="H11" i="8"/>
  <c r="F11" i="8"/>
  <c r="H10" i="8"/>
  <c r="F10" i="8"/>
  <c r="H9" i="8"/>
  <c r="F9" i="8"/>
  <c r="H8" i="8"/>
  <c r="F8" i="8"/>
  <c r="J11" i="11"/>
  <c r="C6" i="11"/>
  <c r="C6" i="10"/>
  <c r="C6" i="8"/>
  <c r="C6" i="4"/>
  <c r="D6" i="3"/>
  <c r="D6" i="2"/>
  <c r="D6" i="5"/>
  <c r="C6" i="1"/>
  <c r="I8" i="11"/>
  <c r="J8" i="11"/>
  <c r="I9" i="11"/>
  <c r="J9" i="11"/>
  <c r="I10" i="11"/>
  <c r="J10" i="11"/>
  <c r="I11" i="11"/>
  <c r="G12" i="11"/>
  <c r="G13" i="11"/>
  <c r="G14" i="11"/>
  <c r="G15" i="11"/>
  <c r="C40" i="11"/>
  <c r="C41" i="11"/>
  <c r="J8" i="10"/>
  <c r="K8" i="10"/>
  <c r="J9" i="10"/>
  <c r="K9" i="10"/>
  <c r="J10" i="10"/>
  <c r="K10" i="10"/>
  <c r="J11" i="10"/>
  <c r="K11" i="10"/>
  <c r="C40" i="10"/>
  <c r="C41" i="10"/>
  <c r="K8" i="8"/>
  <c r="L8" i="8"/>
  <c r="K9" i="8"/>
  <c r="L9" i="8"/>
  <c r="K10" i="8"/>
  <c r="L10" i="8"/>
  <c r="K11" i="8"/>
  <c r="L11" i="8"/>
  <c r="C40" i="8"/>
  <c r="C41" i="8"/>
  <c r="A1" i="1"/>
  <c r="A1" i="2" s="1"/>
  <c r="C40" i="1"/>
  <c r="D13" i="3" s="1"/>
  <c r="C41" i="1"/>
  <c r="C17" i="4" s="1"/>
  <c r="D26" i="5"/>
  <c r="I22" i="12"/>
  <c r="L24" i="12"/>
  <c r="O22" i="12"/>
  <c r="F19" i="12"/>
  <c r="F20" i="12"/>
  <c r="L19" i="12"/>
  <c r="O19" i="12"/>
  <c r="F24" i="12"/>
  <c r="L21" i="12"/>
  <c r="I24" i="12"/>
  <c r="L22" i="12"/>
  <c r="F18" i="12"/>
  <c r="O18" i="12"/>
  <c r="L20" i="12"/>
  <c r="I21" i="12"/>
  <c r="C13" i="12"/>
  <c r="I19" i="12"/>
  <c r="L17" i="12"/>
  <c r="O20" i="12"/>
  <c r="F21" i="12"/>
  <c r="F23" i="12"/>
  <c r="L18" i="12"/>
  <c r="I17" i="12"/>
  <c r="I18" i="12"/>
  <c r="F22" i="12"/>
  <c r="O21" i="12"/>
  <c r="I23" i="12"/>
  <c r="I20" i="12"/>
  <c r="L23" i="12"/>
  <c r="D18" i="2" l="1"/>
  <c r="D25" i="5"/>
  <c r="D14" i="3"/>
  <c r="C16" i="4"/>
  <c r="D17" i="2"/>
  <c r="A1" i="10"/>
  <c r="A1" i="3"/>
  <c r="A1" i="11"/>
  <c r="A1" i="8"/>
  <c r="A1" i="4"/>
</calcChain>
</file>

<file path=xl/comments1.xml><?xml version="1.0" encoding="utf-8"?>
<comments xmlns="http://schemas.openxmlformats.org/spreadsheetml/2006/main">
  <authors>
    <author>KAS</author>
  </authors>
  <commentList>
    <comment ref="B2" authorId="0">
      <text>
        <r>
          <rPr>
            <b/>
            <sz val="9"/>
            <color indexed="81"/>
            <rFont val="Tahoma"/>
            <family val="2"/>
            <charset val="204"/>
          </rPr>
          <t>64 - очистка
1666 - не очистка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<sst xmlns="http://schemas.openxmlformats.org/spreadsheetml/2006/main" count="440" uniqueCount="154">
  <si>
    <t>Зам. Главного судьи по виду</t>
  </si>
  <si>
    <t>Старт №</t>
  </si>
  <si>
    <t>Команда</t>
  </si>
  <si>
    <t>Г.Р.</t>
  </si>
  <si>
    <t>Разряд</t>
  </si>
  <si>
    <t>Трасса1</t>
  </si>
  <si>
    <t>Трасса 2</t>
  </si>
  <si>
    <t>Сумма</t>
  </si>
  <si>
    <t>1/8 финала</t>
  </si>
  <si>
    <t>1/4 финала</t>
  </si>
  <si>
    <t>Трасса2</t>
  </si>
  <si>
    <t>полуфинал</t>
  </si>
  <si>
    <t>Финал за 1-2 место</t>
  </si>
  <si>
    <t>Финал за 3-4 место</t>
  </si>
  <si>
    <t>Место</t>
  </si>
  <si>
    <t>Забег</t>
  </si>
  <si>
    <t>Главный судья</t>
  </si>
  <si>
    <t xml:space="preserve">Главный секретарь </t>
  </si>
  <si>
    <t>финал</t>
  </si>
  <si>
    <t>место</t>
  </si>
  <si>
    <t>Выполненный разряд</t>
  </si>
  <si>
    <t>Смоленск</t>
  </si>
  <si>
    <t>Трасса 1</t>
  </si>
  <si>
    <t>I</t>
  </si>
  <si>
    <t>II</t>
  </si>
  <si>
    <t>III</t>
  </si>
  <si>
    <t/>
  </si>
  <si>
    <t>ПРОТОКОЛ РЕЗУЛЬТАТОВ</t>
  </si>
  <si>
    <t>СТАРТОВЫЙ ПРОТОКОЛ</t>
  </si>
  <si>
    <t>Главный секретарь</t>
  </si>
  <si>
    <t>ИТОГОВЫЙ ПРОТОКОЛ РЕЗУЛЬТАТОВ</t>
  </si>
  <si>
    <t>FLAGS</t>
  </si>
  <si>
    <t>Номер строки в выпадающем списке "Название соревнований"</t>
  </si>
  <si>
    <t>Первая дата</t>
  </si>
  <si>
    <t>Вторая дата</t>
  </si>
  <si>
    <t>Первый год рождения участников</t>
  </si>
  <si>
    <t>Номер строки в выпадающем списке "Второй год рождения участников"</t>
  </si>
  <si>
    <t>Номер строки в выпадающем списке "Главный судья"</t>
  </si>
  <si>
    <t>Номер строки в выпадающем списке "Главный секретарь"</t>
  </si>
  <si>
    <t>Номер строки в выпадающем списке "Зам. Главного судьи по виду"</t>
  </si>
  <si>
    <t>Форма frmSetDate</t>
  </si>
  <si>
    <t>массив DaysCompetitions</t>
  </si>
  <si>
    <t>OnSheetFlags</t>
  </si>
  <si>
    <t>количество участников, вышедших из квалификации</t>
  </si>
  <si>
    <t>TransFlags</t>
  </si>
  <si>
    <t>Только что полученный результат</t>
  </si>
  <si>
    <t>Находящиеся на старте участники</t>
  </si>
  <si>
    <t>HideFlags</t>
  </si>
  <si>
    <t>Проходящие в следующий тур участники</t>
  </si>
  <si>
    <t>Победители</t>
  </si>
  <si>
    <r>
      <t xml:space="preserve">Мужчины - </t>
    </r>
    <r>
      <rPr>
        <b/>
        <sz val="12"/>
        <rFont val="Arial"/>
        <family val="2"/>
        <charset val="204"/>
      </rPr>
      <t xml:space="preserve">СКОРОСТЬ </t>
    </r>
    <r>
      <rPr>
        <sz val="12"/>
        <rFont val="Arial"/>
        <family val="2"/>
        <charset val="204"/>
      </rPr>
      <t>- Квалификация</t>
    </r>
  </si>
  <si>
    <t>Мужчины - Скорость. Квалификация.</t>
  </si>
  <si>
    <t>Мужчины - Скорость. Четвертьфинал</t>
  </si>
  <si>
    <t>Мужчины - Скорость. Полуфинал</t>
  </si>
  <si>
    <t>Мужчины - Скорость. Финал</t>
  </si>
  <si>
    <t xml:space="preserve">Мужчины - Скорость. </t>
  </si>
  <si>
    <t xml:space="preserve">64 - очистка </t>
  </si>
  <si>
    <t>1666 - не очистка</t>
  </si>
  <si>
    <t>Пред. №</t>
  </si>
  <si>
    <t>Фамилия, Имя</t>
  </si>
  <si>
    <t>Мужчины - Скорость. Одна восьмая финала</t>
  </si>
  <si>
    <t>Баллы</t>
  </si>
  <si>
    <t>Приглашается на старт</t>
  </si>
  <si>
    <t>Готовится</t>
  </si>
  <si>
    <t>Спортивный фестиваль "Веселые старты"</t>
  </si>
  <si>
    <t>Калентеенков С. В. (с1к)</t>
  </si>
  <si>
    <t>Калентеенкова С. Н. (с1к)</t>
  </si>
  <si>
    <t>Фальстарт</t>
  </si>
  <si>
    <t>Свойство Enabled кнопки ПЕЧАТЬ</t>
  </si>
  <si>
    <t>Свойство Enabled кнопки СОРТИРОВ-КА/ЖЕРЕБЬЕВКА</t>
  </si>
  <si>
    <t>Дополнительны биты</t>
  </si>
  <si>
    <t>Стартовый</t>
  </si>
  <si>
    <t>Квалификация</t>
  </si>
  <si>
    <t>⅛ финала</t>
  </si>
  <si>
    <t>¼ финала</t>
  </si>
  <si>
    <t>Финал</t>
  </si>
  <si>
    <t>Итоговый протокол</t>
  </si>
  <si>
    <t>Оставшиеся биты</t>
  </si>
  <si>
    <t>Текущее значение</t>
  </si>
  <si>
    <t>Номер бита с описанием</t>
  </si>
  <si>
    <t>Новое значение</t>
  </si>
  <si>
    <t>Свойство Enabled кнопки ПЕРЕХОДА</t>
  </si>
  <si>
    <t xml:space="preserve">0:
0 = False, 
1 = True
</t>
  </si>
  <si>
    <t xml:space="preserve">7:
0 - Сортировка не производилась
</t>
  </si>
  <si>
    <t xml:space="preserve">11:
0 – «Протокол результатов»
</t>
  </si>
  <si>
    <t xml:space="preserve">15:
0 – «Протокол результатов»
</t>
  </si>
  <si>
    <t xml:space="preserve">19:
0 – «Протокол результатов»
</t>
  </si>
  <si>
    <t xml:space="preserve">23:
0 – «Протокол результатов»
</t>
  </si>
  <si>
    <t>½ финала</t>
  </si>
  <si>
    <t xml:space="preserve">29:
Состояние флажка "Слежение за количеством участников"
</t>
  </si>
  <si>
    <t xml:space="preserve">30
Автоматическое сохранение ре-зультатов в БД
</t>
  </si>
  <si>
    <t xml:space="preserve">28:
0 - число участников, вышедших из квалификации еще не вводилось
</t>
  </si>
  <si>
    <t xml:space="preserve">4:
0 = False, 
1 = True
</t>
  </si>
  <si>
    <t xml:space="preserve">8:
0 = False, 
1 = True
</t>
  </si>
  <si>
    <t xml:space="preserve">12:
0 = False, 
1 = True
</t>
  </si>
  <si>
    <t xml:space="preserve">16:
0 = False, 
1 = True
</t>
  </si>
  <si>
    <t xml:space="preserve">20:
0 = False, 
1 = True
</t>
  </si>
  <si>
    <t xml:space="preserve">24:
0 = False, 
1 = True
</t>
  </si>
  <si>
    <t xml:space="preserve">1:
0 = False, 
1 = True
</t>
  </si>
  <si>
    <t xml:space="preserve">5:
0 = False, 
1 = True
</t>
  </si>
  <si>
    <t xml:space="preserve">13:
0 = False, 
1 = True
</t>
  </si>
  <si>
    <t xml:space="preserve">9:
0 = False, 
1 = True
</t>
  </si>
  <si>
    <t xml:space="preserve">17:
0 = False, 
1 = True
</t>
  </si>
  <si>
    <t xml:space="preserve">21:
0 = False, 
1 = True
</t>
  </si>
  <si>
    <t xml:space="preserve">25:
0 = False, 
1 = True
</t>
  </si>
  <si>
    <t xml:space="preserve">2:
0 = False, 
1 = True
</t>
  </si>
  <si>
    <t xml:space="preserve">6:
0 = False, 
1 = True
</t>
  </si>
  <si>
    <t xml:space="preserve">10:
0 = False, 
1 = True
</t>
  </si>
  <si>
    <t xml:space="preserve">14:
0 = False, 
1 = True
</t>
  </si>
  <si>
    <t xml:space="preserve">18:
0 = False, 
1 = True
</t>
  </si>
  <si>
    <t xml:space="preserve">22:
0 = False, 
1 = True
</t>
  </si>
  <si>
    <t xml:space="preserve">26:
0 = False, 
1 = True
</t>
  </si>
  <si>
    <t>Сформированное значение</t>
  </si>
  <si>
    <t>Номер бита</t>
  </si>
  <si>
    <t>21 Апреля 2019</t>
  </si>
  <si>
    <t>Меркурьев Илья</t>
  </si>
  <si>
    <t>Юденков Максим</t>
  </si>
  <si>
    <t>Касаткин Николай</t>
  </si>
  <si>
    <t>Москва</t>
  </si>
  <si>
    <t>КМС</t>
  </si>
  <si>
    <t>Золотарёв Александр</t>
  </si>
  <si>
    <t>Калентеенков Александр</t>
  </si>
  <si>
    <t>Авилкин Сергей</t>
  </si>
  <si>
    <t>Десногорск</t>
  </si>
  <si>
    <t>б/р</t>
  </si>
  <si>
    <t>Ярема Евгений</t>
  </si>
  <si>
    <t>Козьмин Данила</t>
  </si>
  <si>
    <t>МС</t>
  </si>
  <si>
    <t>Зайцев Евгений</t>
  </si>
  <si>
    <t>Корягин Алексей</t>
  </si>
  <si>
    <t>Калуга</t>
  </si>
  <si>
    <t>Аминов Фарит</t>
  </si>
  <si>
    <t>Сухов Вадим</t>
  </si>
  <si>
    <t>Михайлов Александр</t>
  </si>
  <si>
    <t>Мусич Владимир</t>
  </si>
  <si>
    <t>Костыгов Юрий</t>
  </si>
  <si>
    <t>Бабина Павел</t>
  </si>
  <si>
    <t>Сафонов Артём</t>
  </si>
  <si>
    <t>Яковлев Сергей</t>
  </si>
  <si>
    <t>Савельев Иван</t>
  </si>
  <si>
    <t>Бурдейный Андрей</t>
  </si>
  <si>
    <t>Михайлов Иван</t>
  </si>
  <si>
    <t>Позмогов Роман</t>
  </si>
  <si>
    <t>Антонов Максим</t>
  </si>
  <si>
    <t>Розов Александр</t>
  </si>
  <si>
    <t>Уфаев Дмитрий</t>
  </si>
  <si>
    <t>Воробьёв Алексей</t>
  </si>
  <si>
    <t>Власов Сергей</t>
  </si>
  <si>
    <t>Воробьёв Влад</t>
  </si>
  <si>
    <t>Костюков Денис</t>
  </si>
  <si>
    <t>Скоробогатов Алексей</t>
  </si>
  <si>
    <t>Ковалёв Алексей</t>
  </si>
  <si>
    <t>срыв</t>
  </si>
  <si>
    <t>я неявка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</si>
</sst>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F800]dddd\,\ mmmm\ dd\,\ yyyy"/>
    <numFmt numFmtId="165" formatCode="mm:ss.00"/>
    <numFmt numFmtId="166" formatCode="dd/mm/yy;@"/>
    <numFmt numFmtId="167" formatCode="[$-FC19]dd\ mmmm\ yyyy\ \г\.;@"/>
    <numFmt numFmtId="168" formatCode="_([$€]* #,##0.00_);_([$€]* \(#,##0.00\);_([$€]* &quot;-&quot;??_);_(@_)"/>
    <numFmt numFmtId="169" formatCode="0.0000000000000000E+00"/>
  </numFmts>
  <fonts count="26" x14ac:knownFonts="1">
    <font>
      <sz val="10"/>
      <name val="Arial"/>
    </font>
    <font>
      <sz val="10"/>
      <name val="Arial"/>
      <family val="2"/>
      <charset val="204"/>
    </font>
    <font>
      <b/>
      <sz val="14"/>
      <name val="Arial"/>
      <family val="2"/>
      <charset val="204"/>
    </font>
    <font>
      <b/>
      <sz val="12"/>
      <name val="Arial"/>
      <family val="2"/>
      <charset val="204"/>
    </font>
    <font>
      <b/>
      <sz val="10"/>
      <name val="Arial"/>
      <family val="2"/>
      <charset val="204"/>
    </font>
    <font>
      <sz val="8"/>
      <name val="Arial"/>
      <family val="2"/>
      <charset val="204"/>
    </font>
    <font>
      <b/>
      <sz val="10"/>
      <color indexed="10"/>
      <name val="Arial"/>
      <family val="2"/>
      <charset val="204"/>
    </font>
    <font>
      <sz val="10"/>
      <name val="Arial"/>
      <family val="2"/>
      <charset val="204"/>
    </font>
    <font>
      <sz val="10"/>
      <color indexed="8"/>
      <name val="Arial"/>
      <family val="2"/>
      <charset val="204"/>
    </font>
    <font>
      <sz val="9"/>
      <name val="Arial"/>
      <family val="2"/>
      <charset val="204"/>
    </font>
    <font>
      <sz val="12"/>
      <name val="Arial"/>
      <family val="2"/>
      <charset val="204"/>
    </font>
    <font>
      <sz val="16"/>
      <name val="Arial"/>
      <family val="2"/>
      <charset val="204"/>
    </font>
    <font>
      <sz val="14"/>
      <name val="Arial"/>
      <family val="2"/>
      <charset val="204"/>
    </font>
    <font>
      <b/>
      <sz val="10"/>
      <color indexed="8"/>
      <name val="Arial"/>
      <family val="2"/>
      <charset val="204"/>
    </font>
    <font>
      <sz val="10"/>
      <color indexed="9"/>
      <name val="Arial"/>
      <family val="2"/>
      <charset val="204"/>
    </font>
    <font>
      <sz val="10"/>
      <color indexed="8"/>
      <name val="Arial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0"/>
      <color theme="0"/>
      <name val="Arial"/>
      <family val="2"/>
      <charset val="204"/>
    </font>
    <font>
      <sz val="10"/>
      <color theme="0"/>
      <name val="Arial"/>
      <family val="2"/>
      <charset val="204"/>
    </font>
    <font>
      <b/>
      <sz val="10"/>
      <color rgb="FFFF000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10"/>
      <color rgb="FF000000"/>
      <name val="Arial"/>
      <family val="2"/>
      <charset val="204"/>
    </font>
    <font>
      <b/>
      <sz val="10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sz val="14"/>
      <color theme="1"/>
      <name val="Arial"/>
      <family val="2"/>
      <charset val="204"/>
    </font>
  </fonts>
  <fills count="11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4F81BD"/>
        <bgColor indexed="64"/>
      </patternFill>
    </fill>
    <fill>
      <patternFill patternType="solid">
        <fgColor rgb="FF4F81BD"/>
        <bgColor theme="4" tint="0.79998168889431442"/>
      </patternFill>
    </fill>
    <fill>
      <patternFill patternType="solid">
        <fgColor rgb="FFDCE6F1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/>
      <top style="thin">
        <color theme="4" tint="0.39997558519241921"/>
      </top>
      <bottom/>
      <diagonal/>
    </border>
    <border>
      <left style="thick">
        <color auto="1"/>
      </left>
      <right/>
      <top style="thin">
        <color theme="4" tint="0.39997558519241921"/>
      </top>
      <bottom style="thick">
        <color auto="1"/>
      </bottom>
      <diagonal/>
    </border>
    <border>
      <left style="medium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</borders>
  <cellStyleXfs count="2">
    <xf numFmtId="0" fontId="0" fillId="0" borderId="0"/>
    <xf numFmtId="168" fontId="1" fillId="0" borderId="0" applyFont="0" applyFill="0" applyBorder="0" applyAlignment="0" applyProtection="0"/>
  </cellStyleXfs>
  <cellXfs count="232">
    <xf numFmtId="0" fontId="0" fillId="0" borderId="0" xfId="0"/>
    <xf numFmtId="0" fontId="0" fillId="0" borderId="0" xfId="0" applyBorder="1"/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Fill="1"/>
    <xf numFmtId="0" fontId="7" fillId="0" borderId="0" xfId="0" applyFont="1" applyFill="1"/>
    <xf numFmtId="0" fontId="3" fillId="0" borderId="0" xfId="0" applyFont="1" applyFill="1" applyAlignment="1"/>
    <xf numFmtId="0" fontId="7" fillId="0" borderId="0" xfId="0" applyFont="1" applyFill="1" applyBorder="1" applyAlignment="1"/>
    <xf numFmtId="0" fontId="3" fillId="0" borderId="0" xfId="0" applyFont="1" applyFill="1" applyBorder="1" applyAlignment="1">
      <alignment horizontal="center"/>
    </xf>
    <xf numFmtId="0" fontId="7" fillId="0" borderId="0" xfId="0" applyFont="1" applyFill="1" applyBorder="1"/>
    <xf numFmtId="164" fontId="4" fillId="0" borderId="0" xfId="0" applyNumberFormat="1" applyFont="1" applyFill="1" applyBorder="1" applyAlignment="1">
      <alignment horizontal="center"/>
    </xf>
    <xf numFmtId="0" fontId="2" fillId="0" borderId="0" xfId="0" applyFont="1" applyFill="1" applyAlignment="1"/>
    <xf numFmtId="0" fontId="8" fillId="0" borderId="1" xfId="0" applyFont="1" applyFill="1" applyBorder="1" applyAlignment="1">
      <alignment horizontal="center"/>
    </xf>
    <xf numFmtId="0" fontId="7" fillId="0" borderId="1" xfId="0" applyFont="1" applyFill="1" applyBorder="1" applyAlignment="1">
      <alignment horizontal="center" vertical="justify"/>
    </xf>
    <xf numFmtId="0" fontId="7" fillId="0" borderId="1" xfId="0" applyFont="1" applyFill="1" applyBorder="1"/>
    <xf numFmtId="0" fontId="7" fillId="0" borderId="1" xfId="0" applyFont="1" applyFill="1" applyBorder="1" applyAlignment="1">
      <alignment horizontal="center"/>
    </xf>
    <xf numFmtId="165" fontId="7" fillId="0" borderId="1" xfId="0" applyNumberFormat="1" applyFont="1" applyFill="1" applyBorder="1" applyAlignment="1">
      <alignment horizontal="center"/>
    </xf>
    <xf numFmtId="0" fontId="7" fillId="0" borderId="1" xfId="0" applyFont="1" applyFill="1" applyBorder="1" applyAlignment="1">
      <alignment horizontal="center" vertical="center"/>
    </xf>
    <xf numFmtId="0" fontId="7" fillId="0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left"/>
    </xf>
    <xf numFmtId="0" fontId="9" fillId="0" borderId="1" xfId="0" applyFont="1" applyFill="1" applyBorder="1" applyAlignment="1">
      <alignment horizontal="center" vertical="justify"/>
    </xf>
    <xf numFmtId="0" fontId="9" fillId="0" borderId="1" xfId="0" applyFont="1" applyFill="1" applyBorder="1" applyAlignment="1">
      <alignment horizontal="center" vertical="justify" wrapText="1"/>
    </xf>
    <xf numFmtId="0" fontId="7" fillId="0" borderId="1" xfId="0" applyFont="1" applyFill="1" applyBorder="1" applyAlignment="1">
      <alignment horizontal="left"/>
    </xf>
    <xf numFmtId="165" fontId="7" fillId="0" borderId="2" xfId="0" applyNumberFormat="1" applyFont="1" applyFill="1" applyBorder="1" applyAlignment="1">
      <alignment horizontal="center"/>
    </xf>
    <xf numFmtId="0" fontId="7" fillId="0" borderId="3" xfId="0" applyFont="1" applyFill="1" applyBorder="1"/>
    <xf numFmtId="0" fontId="7" fillId="0" borderId="4" xfId="0" applyFont="1" applyFill="1" applyBorder="1"/>
    <xf numFmtId="0" fontId="7" fillId="0" borderId="1" xfId="0" applyNumberFormat="1" applyFont="1" applyFill="1" applyBorder="1"/>
    <xf numFmtId="0" fontId="7" fillId="0" borderId="5" xfId="0" applyFont="1" applyFill="1" applyBorder="1" applyAlignment="1">
      <alignment horizontal="center"/>
    </xf>
    <xf numFmtId="0" fontId="7" fillId="0" borderId="6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 vertical="center"/>
    </xf>
    <xf numFmtId="0" fontId="4" fillId="0" borderId="1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left"/>
    </xf>
    <xf numFmtId="165" fontId="7" fillId="0" borderId="6" xfId="0" applyNumberFormat="1" applyFont="1" applyFill="1" applyBorder="1" applyAlignment="1">
      <alignment horizontal="center"/>
    </xf>
    <xf numFmtId="165" fontId="7" fillId="0" borderId="7" xfId="0" applyNumberFormat="1" applyFont="1" applyFill="1" applyBorder="1" applyAlignment="1">
      <alignment horizontal="center"/>
    </xf>
    <xf numFmtId="0" fontId="7" fillId="0" borderId="6" xfId="0" applyFont="1" applyFill="1" applyBorder="1"/>
    <xf numFmtId="0" fontId="7" fillId="0" borderId="6" xfId="0" applyNumberFormat="1" applyFont="1" applyFill="1" applyBorder="1"/>
    <xf numFmtId="0" fontId="7" fillId="0" borderId="8" xfId="0" applyFont="1" applyFill="1" applyBorder="1" applyAlignment="1">
      <alignment horizontal="center"/>
    </xf>
    <xf numFmtId="0" fontId="7" fillId="0" borderId="8" xfId="0" applyFont="1" applyFill="1" applyBorder="1" applyAlignment="1">
      <alignment horizontal="left"/>
    </xf>
    <xf numFmtId="165" fontId="7" fillId="0" borderId="8" xfId="0" applyNumberFormat="1" applyFont="1" applyFill="1" applyBorder="1" applyAlignment="1">
      <alignment horizontal="center"/>
    </xf>
    <xf numFmtId="0" fontId="7" fillId="0" borderId="8" xfId="0" applyNumberFormat="1" applyFont="1" applyFill="1" applyBorder="1" applyAlignment="1">
      <alignment horizontal="center"/>
    </xf>
    <xf numFmtId="0" fontId="11" fillId="0" borderId="0" xfId="0" applyFont="1"/>
    <xf numFmtId="0" fontId="3" fillId="0" borderId="0" xfId="0" applyFont="1" applyFill="1" applyBorder="1" applyAlignment="1"/>
    <xf numFmtId="0" fontId="10" fillId="0" borderId="0" xfId="0" applyFont="1" applyFill="1" applyBorder="1" applyAlignment="1"/>
    <xf numFmtId="167" fontId="4" fillId="0" borderId="0" xfId="0" applyNumberFormat="1" applyFont="1" applyFill="1" applyBorder="1" applyAlignment="1"/>
    <xf numFmtId="0" fontId="10" fillId="0" borderId="0" xfId="0" applyFont="1"/>
    <xf numFmtId="167" fontId="4" fillId="0" borderId="0" xfId="0" applyNumberFormat="1" applyFont="1" applyFill="1" applyAlignment="1"/>
    <xf numFmtId="0" fontId="10" fillId="0" borderId="0" xfId="0" applyNumberFormat="1" applyFont="1" applyFill="1" applyAlignment="1"/>
    <xf numFmtId="0" fontId="4" fillId="0" borderId="0" xfId="0" applyNumberFormat="1" applyFont="1" applyFill="1" applyAlignment="1"/>
    <xf numFmtId="0" fontId="7" fillId="0" borderId="0" xfId="0" applyFont="1"/>
    <xf numFmtId="0" fontId="1" fillId="0" borderId="0" xfId="0" applyFont="1" applyAlignment="1"/>
    <xf numFmtId="0" fontId="10" fillId="0" borderId="0" xfId="0" applyFont="1" applyFill="1" applyAlignment="1"/>
    <xf numFmtId="164" fontId="4" fillId="0" borderId="0" xfId="0" applyNumberFormat="1" applyFont="1" applyFill="1" applyAlignment="1"/>
    <xf numFmtId="1" fontId="8" fillId="0" borderId="1" xfId="0" applyNumberFormat="1" applyFont="1" applyFill="1" applyBorder="1" applyAlignment="1">
      <alignment horizontal="center"/>
    </xf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Border="1" applyAlignment="1">
      <alignment horizontal="center"/>
    </xf>
    <xf numFmtId="0" fontId="1" fillId="0" borderId="0" xfId="0" applyFont="1" applyAlignment="1">
      <alignment horizontal="left"/>
    </xf>
    <xf numFmtId="0" fontId="10" fillId="0" borderId="0" xfId="0" applyFont="1" applyFill="1" applyBorder="1"/>
    <xf numFmtId="0" fontId="7" fillId="0" borderId="0" xfId="0" applyNumberFormat="1" applyFont="1" applyFill="1" applyAlignment="1"/>
    <xf numFmtId="0" fontId="7" fillId="0" borderId="0" xfId="0" applyFont="1" applyBorder="1"/>
    <xf numFmtId="0" fontId="7" fillId="0" borderId="0" xfId="0" applyFont="1" applyAlignment="1">
      <alignment horizontal="left"/>
    </xf>
    <xf numFmtId="1" fontId="7" fillId="0" borderId="0" xfId="0" applyNumberFormat="1" applyFont="1" applyFill="1" applyBorder="1"/>
    <xf numFmtId="1" fontId="7" fillId="0" borderId="0" xfId="0" applyNumberFormat="1" applyFont="1" applyBorder="1"/>
    <xf numFmtId="0" fontId="7" fillId="0" borderId="1" xfId="0" applyNumberFormat="1" applyFont="1" applyFill="1" applyBorder="1" applyAlignment="1">
      <alignment horizont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" fillId="0" borderId="0" xfId="0" applyFont="1" applyBorder="1"/>
    <xf numFmtId="0" fontId="14" fillId="0" borderId="0" xfId="0" applyFont="1"/>
    <xf numFmtId="49" fontId="7" fillId="0" borderId="0" xfId="0" applyNumberFormat="1" applyFont="1" applyFill="1" applyBorder="1" applyAlignment="1">
      <alignment vertical="center" wrapText="1"/>
    </xf>
    <xf numFmtId="49" fontId="10" fillId="0" borderId="0" xfId="0" applyNumberFormat="1" applyFont="1" applyFill="1" applyBorder="1" applyAlignment="1">
      <alignment vertical="center" wrapText="1"/>
    </xf>
    <xf numFmtId="0" fontId="4" fillId="0" borderId="1" xfId="0" applyFont="1" applyFill="1" applyBorder="1" applyAlignment="1">
      <alignment horizontal="center" vertical="justify"/>
    </xf>
    <xf numFmtId="49" fontId="7" fillId="0" borderId="0" xfId="0" applyNumberFormat="1" applyFont="1" applyBorder="1"/>
    <xf numFmtId="0" fontId="4" fillId="0" borderId="0" xfId="0" applyFont="1" applyFill="1" applyBorder="1" applyAlignment="1">
      <alignment horizontal="center" vertical="justify"/>
    </xf>
    <xf numFmtId="0" fontId="15" fillId="0" borderId="1" xfId="0" applyFont="1" applyFill="1" applyBorder="1" applyAlignment="1">
      <alignment horizontal="left"/>
    </xf>
    <xf numFmtId="0" fontId="15" fillId="0" borderId="1" xfId="0" applyFont="1" applyFill="1" applyBorder="1" applyAlignment="1">
      <alignment horizontal="center"/>
    </xf>
    <xf numFmtId="0" fontId="15" fillId="0" borderId="1" xfId="0" applyNumberFormat="1" applyFont="1" applyFill="1" applyBorder="1" applyAlignment="1">
      <alignment horizontal="center"/>
    </xf>
    <xf numFmtId="49" fontId="18" fillId="0" borderId="0" xfId="0" applyNumberFormat="1" applyFont="1" applyFill="1" applyAlignment="1">
      <alignment horizontal="center" vertical="center" wrapText="1"/>
    </xf>
    <xf numFmtId="0" fontId="19" fillId="0" borderId="0" xfId="0" applyFont="1"/>
    <xf numFmtId="0" fontId="19" fillId="0" borderId="0" xfId="0" applyNumberFormat="1" applyFont="1" applyFill="1" applyBorder="1" applyAlignment="1">
      <alignment horizontal="center"/>
    </xf>
    <xf numFmtId="165" fontId="19" fillId="0" borderId="0" xfId="0" applyNumberFormat="1" applyFont="1" applyFill="1" applyBorder="1" applyAlignment="1">
      <alignment horizontal="center"/>
    </xf>
    <xf numFmtId="169" fontId="19" fillId="0" borderId="0" xfId="0" applyNumberFormat="1" applyFont="1" applyFill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9" fillId="0" borderId="0" xfId="0" applyFont="1" applyBorder="1"/>
    <xf numFmtId="0" fontId="19" fillId="0" borderId="0" xfId="0" applyFont="1" applyFill="1" applyBorder="1"/>
    <xf numFmtId="0" fontId="19" fillId="0" borderId="0" xfId="0" applyFont="1" applyAlignment="1">
      <alignment horizontal="right"/>
    </xf>
    <xf numFmtId="1" fontId="19" fillId="0" borderId="0" xfId="0" applyNumberFormat="1" applyFont="1"/>
    <xf numFmtId="1" fontId="19" fillId="0" borderId="3" xfId="0" applyNumberFormat="1" applyFont="1" applyFill="1" applyBorder="1" applyAlignment="1">
      <alignment horizontal="center"/>
    </xf>
    <xf numFmtId="1" fontId="7" fillId="0" borderId="0" xfId="0" applyNumberFormat="1" applyFont="1" applyFill="1" applyBorder="1" applyAlignment="1">
      <alignment horizontal="center"/>
    </xf>
    <xf numFmtId="4" fontId="15" fillId="0" borderId="1" xfId="0" applyNumberFormat="1" applyFont="1" applyFill="1" applyBorder="1" applyAlignment="1">
      <alignment horizontal="center"/>
    </xf>
    <xf numFmtId="0" fontId="4" fillId="0" borderId="0" xfId="0" applyFont="1" applyBorder="1"/>
    <xf numFmtId="0" fontId="10" fillId="0" borderId="0" xfId="0" applyFont="1" applyBorder="1"/>
    <xf numFmtId="0" fontId="10" fillId="0" borderId="0" xfId="0" applyNumberFormat="1" applyFont="1" applyFill="1" applyAlignment="1">
      <alignment horizontal="center" vertical="center"/>
    </xf>
    <xf numFmtId="0" fontId="7" fillId="0" borderId="0" xfId="0" applyNumberFormat="1" applyFont="1" applyFill="1" applyAlignment="1">
      <alignment horizontal="center" vertical="top"/>
    </xf>
    <xf numFmtId="49" fontId="4" fillId="0" borderId="9" xfId="0" applyNumberFormat="1" applyFont="1" applyFill="1" applyBorder="1" applyAlignment="1">
      <alignment horizontal="center" vertical="justify"/>
    </xf>
    <xf numFmtId="3" fontId="4" fillId="0" borderId="0" xfId="0" applyNumberFormat="1" applyFont="1" applyAlignment="1">
      <alignment horizontal="center" vertical="center"/>
    </xf>
    <xf numFmtId="1" fontId="6" fillId="0" borderId="1" xfId="0" applyNumberFormat="1" applyFont="1" applyFill="1" applyBorder="1" applyAlignment="1">
      <alignment horizontal="center"/>
    </xf>
    <xf numFmtId="1" fontId="4" fillId="0" borderId="8" xfId="0" applyNumberFormat="1" applyFont="1" applyFill="1" applyBorder="1" applyAlignment="1">
      <alignment horizontal="center"/>
    </xf>
    <xf numFmtId="1" fontId="4" fillId="0" borderId="6" xfId="0" applyNumberFormat="1" applyFont="1" applyFill="1" applyBorder="1" applyAlignment="1">
      <alignment horizontal="center"/>
    </xf>
    <xf numFmtId="1" fontId="4" fillId="0" borderId="1" xfId="0" applyNumberFormat="1" applyFont="1" applyFill="1" applyBorder="1" applyAlignment="1">
      <alignment horizontal="center"/>
    </xf>
    <xf numFmtId="1" fontId="4" fillId="0" borderId="10" xfId="0" applyNumberFormat="1" applyFont="1" applyFill="1" applyBorder="1" applyAlignment="1">
      <alignment horizontal="center"/>
    </xf>
    <xf numFmtId="0" fontId="20" fillId="0" borderId="0" xfId="0" applyFont="1" applyFill="1" applyBorder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0" fontId="19" fillId="0" borderId="0" xfId="0" applyFont="1" applyBorder="1" applyAlignment="1"/>
    <xf numFmtId="3" fontId="7" fillId="0" borderId="0" xfId="0" applyNumberFormat="1" applyFont="1" applyAlignment="1">
      <alignment horizontal="center"/>
    </xf>
    <xf numFmtId="0" fontId="19" fillId="0" borderId="0" xfId="0" applyFont="1" applyBorder="1" applyAlignment="1">
      <alignment horizontal="center"/>
    </xf>
    <xf numFmtId="1" fontId="19" fillId="0" borderId="0" xfId="0" applyNumberFormat="1" applyFont="1" applyBorder="1" applyAlignment="1">
      <alignment horizontal="center"/>
    </xf>
    <xf numFmtId="1" fontId="19" fillId="0" borderId="0" xfId="0" applyNumberFormat="1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 vertical="justify"/>
    </xf>
    <xf numFmtId="0" fontId="19" fillId="0" borderId="0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2" fillId="2" borderId="7" xfId="0" applyFont="1" applyFill="1" applyBorder="1" applyAlignment="1">
      <alignment vertical="center" wrapText="1"/>
    </xf>
    <xf numFmtId="0" fontId="12" fillId="2" borderId="11" xfId="0" applyFont="1" applyFill="1" applyBorder="1" applyAlignment="1">
      <alignment vertical="center" wrapText="1"/>
    </xf>
    <xf numFmtId="0" fontId="12" fillId="2" borderId="9" xfId="0" applyFont="1" applyFill="1" applyBorder="1" applyAlignment="1">
      <alignment vertical="center" wrapText="1"/>
    </xf>
    <xf numFmtId="0" fontId="2" fillId="0" borderId="0" xfId="0" applyFont="1" applyFill="1" applyBorder="1" applyAlignment="1">
      <alignment vertical="center" wrapText="1"/>
    </xf>
    <xf numFmtId="0" fontId="0" fillId="0" borderId="1" xfId="0" applyBorder="1"/>
    <xf numFmtId="0" fontId="7" fillId="0" borderId="0" xfId="0" applyFont="1" applyFill="1" applyAlignment="1">
      <alignment horizontal="center" vertical="center"/>
    </xf>
    <xf numFmtId="165" fontId="1" fillId="0" borderId="1" xfId="0" applyNumberFormat="1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 vertical="justify"/>
    </xf>
    <xf numFmtId="1" fontId="1" fillId="0" borderId="1" xfId="0" applyNumberFormat="1" applyFont="1" applyFill="1" applyBorder="1" applyAlignment="1">
      <alignment horizontal="center"/>
    </xf>
    <xf numFmtId="0" fontId="18" fillId="6" borderId="21" xfId="0" applyFont="1" applyFill="1" applyBorder="1" applyAlignment="1">
      <alignment horizontal="center" wrapText="1"/>
    </xf>
    <xf numFmtId="0" fontId="18" fillId="6" borderId="22" xfId="0" applyFont="1" applyFill="1" applyBorder="1" applyAlignment="1">
      <alignment horizontal="center" wrapText="1"/>
    </xf>
    <xf numFmtId="0" fontId="18" fillId="6" borderId="23" xfId="0" applyFont="1" applyFill="1" applyBorder="1" applyAlignment="1">
      <alignment horizontal="center" wrapText="1"/>
    </xf>
    <xf numFmtId="0" fontId="24" fillId="0" borderId="24" xfId="0" applyFont="1" applyBorder="1" applyAlignment="1">
      <alignment horizontal="left" vertical="top" wrapText="1"/>
    </xf>
    <xf numFmtId="0" fontId="23" fillId="0" borderId="12" xfId="0" applyFont="1" applyBorder="1" applyAlignment="1">
      <alignment horizontal="left" vertical="top" wrapText="1"/>
    </xf>
    <xf numFmtId="0" fontId="24" fillId="0" borderId="24" xfId="0" applyFont="1" applyBorder="1" applyAlignment="1">
      <alignment horizontal="left" vertical="top"/>
    </xf>
    <xf numFmtId="0" fontId="24" fillId="7" borderId="24" xfId="0" applyFont="1" applyFill="1" applyBorder="1" applyAlignment="1">
      <alignment horizontal="left" vertical="top" wrapText="1"/>
    </xf>
    <xf numFmtId="0" fontId="23" fillId="7" borderId="12" xfId="0" applyFont="1" applyFill="1" applyBorder="1" applyAlignment="1">
      <alignment horizontal="left" vertical="top" wrapText="1"/>
    </xf>
    <xf numFmtId="0" fontId="24" fillId="7" borderId="27" xfId="0" applyFont="1" applyFill="1" applyBorder="1" applyAlignment="1">
      <alignment horizontal="left" vertical="top" wrapText="1"/>
    </xf>
    <xf numFmtId="0" fontId="23" fillId="7" borderId="19" xfId="0" applyFont="1" applyFill="1" applyBorder="1" applyAlignment="1">
      <alignment horizontal="left" vertical="top" wrapText="1"/>
    </xf>
    <xf numFmtId="0" fontId="24" fillId="7" borderId="27" xfId="0" applyFont="1" applyFill="1" applyBorder="1" applyAlignment="1">
      <alignment horizontal="left" vertical="top"/>
    </xf>
    <xf numFmtId="0" fontId="18" fillId="8" borderId="20" xfId="0" applyFont="1" applyFill="1" applyBorder="1" applyAlignment="1">
      <alignment horizontal="left" vertical="top" wrapText="1"/>
    </xf>
    <xf numFmtId="0" fontId="18" fillId="9" borderId="20" xfId="0" applyFont="1" applyFill="1" applyBorder="1" applyAlignment="1">
      <alignment horizontal="left" vertical="top" wrapText="1"/>
    </xf>
    <xf numFmtId="0" fontId="18" fillId="8" borderId="20" xfId="0" applyFont="1" applyFill="1" applyBorder="1" applyAlignment="1">
      <alignment vertical="top"/>
    </xf>
    <xf numFmtId="0" fontId="18" fillId="9" borderId="26" xfId="0" applyFont="1" applyFill="1" applyBorder="1" applyAlignment="1">
      <alignment horizontal="left" vertical="top" wrapText="1"/>
    </xf>
    <xf numFmtId="0" fontId="25" fillId="0" borderId="12" xfId="0" applyFont="1" applyBorder="1" applyAlignment="1">
      <alignment horizontal="left" vertical="top"/>
    </xf>
    <xf numFmtId="0" fontId="25" fillId="7" borderId="12" xfId="0" applyFont="1" applyFill="1" applyBorder="1" applyAlignment="1">
      <alignment horizontal="left" vertical="top"/>
    </xf>
    <xf numFmtId="0" fontId="25" fillId="7" borderId="19" xfId="0" applyFont="1" applyFill="1" applyBorder="1" applyAlignment="1">
      <alignment horizontal="left" vertical="top"/>
    </xf>
    <xf numFmtId="0" fontId="25" fillId="0" borderId="25" xfId="0" applyFont="1" applyBorder="1" applyAlignment="1">
      <alignment horizontal="left" vertical="top"/>
    </xf>
    <xf numFmtId="0" fontId="25" fillId="7" borderId="25" xfId="0" applyFont="1" applyFill="1" applyBorder="1" applyAlignment="1">
      <alignment horizontal="left" vertical="top"/>
    </xf>
    <xf numFmtId="0" fontId="25" fillId="7" borderId="18" xfId="0" applyFont="1" applyFill="1" applyBorder="1" applyAlignment="1">
      <alignment horizontal="left" vertical="top"/>
    </xf>
    <xf numFmtId="0" fontId="18" fillId="6" borderId="28" xfId="0" applyFont="1" applyFill="1" applyBorder="1" applyAlignment="1"/>
    <xf numFmtId="0" fontId="18" fillId="6" borderId="29" xfId="0" applyFont="1" applyFill="1" applyBorder="1" applyAlignment="1"/>
    <xf numFmtId="0" fontId="4" fillId="0" borderId="0" xfId="0" applyFont="1" applyAlignment="1">
      <alignment vertical="center"/>
    </xf>
    <xf numFmtId="0" fontId="0" fillId="0" borderId="32" xfId="0" applyBorder="1"/>
    <xf numFmtId="0" fontId="18" fillId="6" borderId="22" xfId="0" applyFont="1" applyFill="1" applyBorder="1" applyAlignment="1">
      <alignment horizontal="center" vertical="center" wrapText="1"/>
    </xf>
    <xf numFmtId="0" fontId="18" fillId="6" borderId="23" xfId="0" applyFont="1" applyFill="1" applyBorder="1" applyAlignment="1">
      <alignment horizontal="center" vertical="center" wrapText="1"/>
    </xf>
    <xf numFmtId="0" fontId="18" fillId="6" borderId="33" xfId="0" applyFont="1" applyFill="1" applyBorder="1" applyAlignment="1">
      <alignment horizontal="center" vertical="center" wrapText="1"/>
    </xf>
    <xf numFmtId="0" fontId="18" fillId="6" borderId="34" xfId="0" applyFont="1" applyFill="1" applyBorder="1" applyAlignment="1">
      <alignment horizontal="center" vertical="center" wrapText="1"/>
    </xf>
    <xf numFmtId="0" fontId="24" fillId="0" borderId="27" xfId="0" applyFont="1" applyBorder="1" applyAlignment="1">
      <alignment horizontal="left" vertical="top" wrapText="1"/>
    </xf>
    <xf numFmtId="0" fontId="18" fillId="6" borderId="35" xfId="0" applyFont="1" applyFill="1" applyBorder="1" applyAlignment="1">
      <alignment horizontal="center" wrapText="1"/>
    </xf>
    <xf numFmtId="0" fontId="18" fillId="6" borderId="3" xfId="0" applyFont="1" applyFill="1" applyBorder="1" applyAlignment="1">
      <alignment horizontal="center" wrapText="1"/>
    </xf>
    <xf numFmtId="0" fontId="25" fillId="0" borderId="18" xfId="0" applyFont="1" applyBorder="1" applyAlignment="1">
      <alignment horizontal="left" vertical="top"/>
    </xf>
    <xf numFmtId="3" fontId="2" fillId="10" borderId="40" xfId="0" applyNumberFormat="1" applyFont="1" applyFill="1" applyBorder="1" applyAlignment="1">
      <alignment horizontal="left"/>
    </xf>
    <xf numFmtId="0" fontId="8" fillId="0" borderId="1" xfId="0" applyFont="1" applyFill="1" applyBorder="1" applyAlignment="1">
      <alignment horizontal="center"/>
    </xf>
    <xf numFmtId="0" fontId="8" fillId="0" borderId="1" xfId="0" applyFont="1" applyFill="1" applyBorder="1" applyAlignment="1">
      <alignment horizontal="left"/>
    </xf>
    <xf numFmtId="0" fontId="1" fillId="0" borderId="0" xfId="0" applyFont="1" applyAlignment="1">
      <alignment horizontal="left"/>
    </xf>
    <xf numFmtId="0" fontId="12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top"/>
    </xf>
    <xf numFmtId="0" fontId="7" fillId="0" borderId="11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wrapText="1"/>
    </xf>
    <xf numFmtId="166" fontId="10" fillId="0" borderId="0" xfId="0" applyNumberFormat="1" applyFont="1" applyFill="1" applyBorder="1" applyAlignment="1">
      <alignment horizontal="right"/>
    </xf>
    <xf numFmtId="0" fontId="12" fillId="3" borderId="12" xfId="0" applyFont="1" applyFill="1" applyBorder="1" applyAlignment="1">
      <alignment horizontal="center" vertical="center" wrapText="1"/>
    </xf>
    <xf numFmtId="0" fontId="12" fillId="3" borderId="13" xfId="0" applyFont="1" applyFill="1" applyBorder="1" applyAlignment="1">
      <alignment horizontal="center" vertical="center" wrapText="1"/>
    </xf>
    <xf numFmtId="0" fontId="12" fillId="3" borderId="14" xfId="0" applyFont="1" applyFill="1" applyBorder="1" applyAlignment="1">
      <alignment horizontal="center" vertical="center" wrapText="1"/>
    </xf>
    <xf numFmtId="0" fontId="12" fillId="3" borderId="3" xfId="0" applyFont="1" applyFill="1" applyBorder="1" applyAlignment="1">
      <alignment horizontal="center" vertical="center" wrapText="1"/>
    </xf>
    <xf numFmtId="0" fontId="12" fillId="3" borderId="0" xfId="0" applyFont="1" applyFill="1" applyBorder="1" applyAlignment="1">
      <alignment horizontal="center" vertical="center" wrapText="1"/>
    </xf>
    <xf numFmtId="0" fontId="12" fillId="3" borderId="4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10" fillId="0" borderId="0" xfId="0" applyNumberFormat="1" applyFont="1" applyFill="1" applyBorder="1" applyAlignment="1">
      <alignment horizontal="right"/>
    </xf>
    <xf numFmtId="0" fontId="3" fillId="0" borderId="0" xfId="0" applyFont="1" applyFill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center" vertical="center" wrapText="1"/>
    </xf>
    <xf numFmtId="0" fontId="12" fillId="5" borderId="1" xfId="0" applyFont="1" applyFill="1" applyBorder="1" applyAlignment="1">
      <alignment horizontal="center" vertical="center" wrapText="1"/>
    </xf>
    <xf numFmtId="0" fontId="12" fillId="2" borderId="3" xfId="0" applyFont="1" applyFill="1" applyBorder="1" applyAlignment="1">
      <alignment horizontal="center" vertical="center" wrapText="1"/>
    </xf>
    <xf numFmtId="0" fontId="12" fillId="2" borderId="0" xfId="0" applyFont="1" applyFill="1" applyBorder="1" applyAlignment="1">
      <alignment horizontal="center" vertical="center" wrapText="1"/>
    </xf>
    <xf numFmtId="0" fontId="12" fillId="2" borderId="4" xfId="0" applyFont="1" applyFill="1" applyBorder="1" applyAlignment="1">
      <alignment horizontal="center" vertical="center" wrapText="1"/>
    </xf>
    <xf numFmtId="0" fontId="12" fillId="2" borderId="7" xfId="0" applyFont="1" applyFill="1" applyBorder="1" applyAlignment="1">
      <alignment horizontal="center" vertical="center" wrapText="1"/>
    </xf>
    <xf numFmtId="0" fontId="12" fillId="2" borderId="11" xfId="0" applyFont="1" applyFill="1" applyBorder="1" applyAlignment="1">
      <alignment horizontal="center" vertical="center" wrapText="1"/>
    </xf>
    <xf numFmtId="0" fontId="12" fillId="2" borderId="9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left"/>
    </xf>
    <xf numFmtId="0" fontId="7" fillId="0" borderId="0" xfId="0" applyFont="1" applyFill="1" applyBorder="1" applyAlignment="1">
      <alignment horizontal="left"/>
    </xf>
    <xf numFmtId="49" fontId="21" fillId="0" borderId="3" xfId="0" applyNumberFormat="1" applyFont="1" applyFill="1" applyBorder="1" applyAlignment="1">
      <alignment horizontal="left" vertical="center" wrapText="1"/>
    </xf>
    <xf numFmtId="49" fontId="21" fillId="0" borderId="0" xfId="0" applyNumberFormat="1" applyFont="1" applyFill="1" applyAlignment="1">
      <alignment horizontal="left" vertical="center" wrapText="1"/>
    </xf>
    <xf numFmtId="164" fontId="21" fillId="0" borderId="13" xfId="0" applyNumberFormat="1" applyFont="1" applyBorder="1" applyAlignment="1">
      <alignment horizontal="left"/>
    </xf>
    <xf numFmtId="0" fontId="2" fillId="3" borderId="1" xfId="0" applyFont="1" applyFill="1" applyBorder="1" applyAlignment="1">
      <alignment horizontal="center" vertical="center" wrapText="1"/>
    </xf>
    <xf numFmtId="0" fontId="12" fillId="2" borderId="1" xfId="0" applyFont="1" applyFill="1" applyBorder="1" applyAlignment="1">
      <alignment horizontal="center" vertical="center" wrapText="1"/>
    </xf>
    <xf numFmtId="0" fontId="2" fillId="0" borderId="0" xfId="0" applyNumberFormat="1" applyFont="1" applyFill="1" applyAlignment="1">
      <alignment horizontal="center" vertical="center" wrapText="1"/>
    </xf>
    <xf numFmtId="0" fontId="10" fillId="5" borderId="1" xfId="0" applyFont="1" applyFill="1" applyBorder="1" applyAlignment="1">
      <alignment horizontal="center" vertical="center" wrapText="1"/>
    </xf>
    <xf numFmtId="0" fontId="7" fillId="0" borderId="0" xfId="0" applyFont="1" applyAlignment="1"/>
    <xf numFmtId="0" fontId="1" fillId="0" borderId="0" xfId="0" applyFont="1" applyAlignment="1"/>
    <xf numFmtId="0" fontId="10" fillId="0" borderId="0" xfId="0" applyNumberFormat="1" applyFont="1" applyFill="1" applyAlignment="1">
      <alignment horizontal="right"/>
    </xf>
    <xf numFmtId="0" fontId="3" fillId="0" borderId="0" xfId="0" applyNumberFormat="1" applyFont="1" applyFill="1" applyAlignment="1">
      <alignment horizontal="center"/>
    </xf>
    <xf numFmtId="0" fontId="10" fillId="0" borderId="0" xfId="0" applyNumberFormat="1" applyFont="1" applyFill="1" applyAlignment="1">
      <alignment horizontal="left"/>
    </xf>
    <xf numFmtId="0" fontId="10" fillId="0" borderId="0" xfId="0" applyNumberFormat="1" applyFont="1" applyFill="1" applyAlignment="1">
      <alignment horizontal="center"/>
    </xf>
    <xf numFmtId="0" fontId="0" fillId="0" borderId="0" xfId="0" applyAlignment="1">
      <alignment horizontal="left"/>
    </xf>
    <xf numFmtId="0" fontId="2" fillId="0" borderId="0" xfId="0" applyNumberFormat="1" applyFont="1" applyFill="1" applyAlignment="1">
      <alignment horizontal="center" vertical="center" wrapText="1" shrinkToFit="1"/>
    </xf>
    <xf numFmtId="0" fontId="7" fillId="0" borderId="5" xfId="0" applyFont="1" applyFill="1" applyBorder="1" applyAlignment="1">
      <alignment horizontal="center" vertical="center"/>
    </xf>
    <xf numFmtId="0" fontId="0" fillId="0" borderId="6" xfId="0" applyBorder="1"/>
    <xf numFmtId="0" fontId="2" fillId="0" borderId="0" xfId="0" applyFont="1" applyFill="1" applyAlignment="1">
      <alignment horizontal="center" vertical="center" wrapText="1"/>
    </xf>
    <xf numFmtId="0" fontId="3" fillId="0" borderId="0" xfId="0" applyFont="1" applyFill="1" applyAlignment="1">
      <alignment horizont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6" fillId="0" borderId="2" xfId="0" applyFont="1" applyFill="1" applyBorder="1" applyAlignment="1">
      <alignment horizontal="center"/>
    </xf>
    <xf numFmtId="0" fontId="6" fillId="0" borderId="15" xfId="0" applyFont="1" applyFill="1" applyBorder="1" applyAlignment="1">
      <alignment horizontal="center"/>
    </xf>
    <xf numFmtId="0" fontId="20" fillId="0" borderId="2" xfId="0" applyFont="1" applyFill="1" applyBorder="1" applyAlignment="1">
      <alignment horizontal="center"/>
    </xf>
    <xf numFmtId="0" fontId="10" fillId="0" borderId="0" xfId="0" applyFont="1" applyFill="1" applyAlignment="1">
      <alignment horizontal="left"/>
    </xf>
    <xf numFmtId="0" fontId="7" fillId="0" borderId="1" xfId="0" applyFont="1" applyFill="1" applyBorder="1" applyAlignment="1">
      <alignment horizontal="center" vertical="justify"/>
    </xf>
    <xf numFmtId="0" fontId="12" fillId="3" borderId="1" xfId="0" applyFont="1" applyFill="1" applyBorder="1" applyAlignment="1">
      <alignment horizontal="center" vertical="center" wrapText="1"/>
    </xf>
    <xf numFmtId="0" fontId="22" fillId="0" borderId="2" xfId="0" applyFont="1" applyFill="1" applyBorder="1" applyAlignment="1">
      <alignment horizontal="center"/>
    </xf>
    <xf numFmtId="0" fontId="13" fillId="0" borderId="15" xfId="0" applyFont="1" applyFill="1" applyBorder="1" applyAlignment="1">
      <alignment horizontal="center"/>
    </xf>
    <xf numFmtId="0" fontId="21" fillId="0" borderId="13" xfId="0" applyFont="1" applyBorder="1" applyAlignment="1">
      <alignment horizontal="left"/>
    </xf>
    <xf numFmtId="3" fontId="2" fillId="10" borderId="38" xfId="0" applyNumberFormat="1" applyFont="1" applyFill="1" applyBorder="1" applyAlignment="1">
      <alignment horizontal="left"/>
    </xf>
    <xf numFmtId="3" fontId="2" fillId="10" borderId="39" xfId="0" applyNumberFormat="1" applyFont="1" applyFill="1" applyBorder="1" applyAlignment="1">
      <alignment horizontal="left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18" fillId="8" borderId="36" xfId="0" applyFont="1" applyFill="1" applyBorder="1" applyAlignment="1">
      <alignment horizontal="left"/>
    </xf>
    <xf numFmtId="0" fontId="18" fillId="8" borderId="37" xfId="0" applyFont="1" applyFill="1" applyBorder="1" applyAlignment="1">
      <alignment horizontal="left"/>
    </xf>
    <xf numFmtId="0" fontId="24" fillId="7" borderId="30" xfId="0" applyFont="1" applyFill="1" applyBorder="1" applyAlignment="1">
      <alignment horizontal="center" vertical="center" wrapText="1"/>
    </xf>
    <xf numFmtId="0" fontId="24" fillId="7" borderId="16" xfId="0" applyFont="1" applyFill="1" applyBorder="1" applyAlignment="1">
      <alignment horizontal="center" vertical="center" wrapText="1"/>
    </xf>
    <xf numFmtId="0" fontId="24" fillId="7" borderId="31" xfId="0" applyFont="1" applyFill="1" applyBorder="1" applyAlignment="1">
      <alignment horizontal="center" vertical="center" wrapText="1"/>
    </xf>
    <xf numFmtId="0" fontId="24" fillId="7" borderId="17" xfId="0" applyFont="1" applyFill="1" applyBorder="1" applyAlignment="1">
      <alignment horizontal="center" vertical="center" wrapText="1"/>
    </xf>
    <xf numFmtId="0" fontId="23" fillId="7" borderId="1" xfId="0" applyFont="1" applyFill="1" applyBorder="1" applyAlignment="1">
      <alignment horizontal="left" vertical="top" wrapText="1"/>
    </xf>
    <xf numFmtId="0" fontId="23" fillId="0" borderId="1" xfId="0" applyFont="1" applyBorder="1" applyAlignment="1">
      <alignment horizontal="left" vertical="top" wrapText="1"/>
    </xf>
    <xf numFmtId="0" fontId="18" fillId="6" borderId="21" xfId="0" applyFont="1" applyFill="1" applyBorder="1" applyAlignment="1">
      <alignment horizontal="center" vertical="center" wrapText="1"/>
    </xf>
    <xf numFmtId="0" fontId="18" fillId="6" borderId="41" xfId="0" applyFont="1" applyFill="1" applyBorder="1" applyAlignment="1">
      <alignment horizontal="center" vertical="center" wrapText="1"/>
    </xf>
    <xf numFmtId="0" fontId="23" fillId="0" borderId="42" xfId="0" applyFont="1" applyBorder="1" applyAlignment="1">
      <alignment horizontal="left" vertical="top" wrapText="1"/>
    </xf>
    <xf numFmtId="0" fontId="23" fillId="0" borderId="43" xfId="0" applyFont="1" applyBorder="1" applyAlignment="1">
      <alignment horizontal="left" vertical="top" wrapText="1"/>
    </xf>
  </cellXfs>
  <cellStyles count="2">
    <cellStyle name="Euro" xfId="1"/>
    <cellStyle name="Обычный" xfId="0" builtinId="0"/>
  </cellStyles>
  <dxfs count="50">
    <dxf>
      <numFmt numFmtId="170" formatCode="mm:ss.00\*"/>
    </dxf>
    <dxf>
      <numFmt numFmtId="170" formatCode="mm:ss.00\*"/>
    </dxf>
    <dxf>
      <numFmt numFmtId="170" formatCode="mm:ss.00\*"/>
    </dxf>
    <dxf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ont>
        <color rgb="FFFF0000"/>
      </font>
    </dxf>
    <dxf>
      <numFmt numFmtId="170" formatCode="mm:ss.00\*"/>
    </dxf>
    <dxf>
      <numFmt numFmtId="170" formatCode="mm:ss.00\*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ont>
        <color rgb="FFFF0000"/>
      </font>
    </dxf>
    <dxf>
      <numFmt numFmtId="170" formatCode="mm:ss.00\*"/>
    </dxf>
    <dxf>
      <numFmt numFmtId="170" formatCode="mm:ss.00\*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ont>
        <color rgb="FFFF0000"/>
      </font>
    </dxf>
    <dxf>
      <numFmt numFmtId="170" formatCode="mm:ss.00\*"/>
    </dxf>
    <dxf>
      <numFmt numFmtId="170" formatCode="mm:ss.00\*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ont>
        <color rgb="FFFF0000"/>
      </font>
    </dxf>
    <dxf>
      <numFmt numFmtId="170" formatCode="mm:ss.00\*"/>
    </dxf>
    <dxf>
      <numFmt numFmtId="170" formatCode="mm:ss.00\*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mm:ss.00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mm:ss.00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mm:ss.00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justify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0" formatCode="mm:ss.00\*"/>
    </dxf>
    <dxf>
      <font>
        <b val="0"/>
        <i val="0"/>
      </font>
      <fill>
        <patternFill patternType="solid">
          <bgColor rgb="FFFFFF00"/>
        </patternFill>
      </fill>
    </dxf>
    <dxf>
      <font>
        <b/>
        <i val="0"/>
        <color theme="1"/>
      </font>
      <fill>
        <patternFill patternType="solid"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ont>
        <color rgb="FFFF0000"/>
      </font>
      <fill>
        <patternFill patternType="none"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49"/>
      <tableStyleElement type="headerRow" dxfId="48"/>
    </tableStyle>
  </tableStyles>
  <colors>
    <mruColors>
      <color rgb="FFDCE6F1"/>
      <color rgb="FF4F81BD"/>
      <color rgb="FF4F8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2" name="Список2" displayName="Список2" ref="B7:H38" insertRowShift="1" totalsRowShown="0" headerRowDxfId="41" headerRowBorderDxfId="40" tableBorderDxfId="39" totalsRowBorderDxfId="38">
  <autoFilter ref="B7:H38"/>
  <tableColumns count="7">
    <tableColumn id="1" name="Фамилия, Имя" dataDxfId="37"/>
    <tableColumn id="2" name="Команда" dataDxfId="36"/>
    <tableColumn id="3" name="Г.Р." dataDxfId="35"/>
    <tableColumn id="4" name="Разряд" dataDxfId="34"/>
    <tableColumn id="5" name="Трасса1" dataDxfId="33"/>
    <tableColumn id="6" name="Трасса 2" dataDxfId="32"/>
    <tableColumn id="7" name="Сумма" dataDxfId="3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E41"/>
  <sheetViews>
    <sheetView showZeros="0" zoomScaleNormal="100" zoomScaleSheetLayoutView="55" workbookViewId="0">
      <pane xSplit="5" ySplit="7" topLeftCell="F20" activePane="bottomRight" state="frozen"/>
      <selection activeCell="G13" sqref="G13"/>
      <selection pane="topRight" activeCell="G13" sqref="G13"/>
      <selection pane="bottomLeft" activeCell="G13" sqref="G13"/>
      <selection pane="bottomRight" activeCell="B8" sqref="B8:E38"/>
    </sheetView>
  </sheetViews>
  <sheetFormatPr defaultRowHeight="12.75" x14ac:dyDescent="0.2"/>
  <cols>
    <col min="1" max="1" width="11.7109375" customWidth="1"/>
    <col min="2" max="2" width="23" bestFit="1" customWidth="1"/>
    <col min="3" max="3" width="19.85546875" style="2" customWidth="1"/>
    <col min="4" max="4" width="7.7109375" customWidth="1"/>
    <col min="5" max="5" width="10.7109375" customWidth="1"/>
  </cols>
  <sheetData>
    <row r="1" spans="1:5" s="42" customFormat="1" ht="20.25" customHeight="1" x14ac:dyDescent="0.3">
      <c r="A1" s="159" t="s">
        <v>28</v>
      </c>
      <c r="B1" s="159"/>
      <c r="C1" s="159"/>
      <c r="D1" s="159"/>
      <c r="E1" s="159"/>
    </row>
    <row r="2" spans="1:5" ht="18" customHeight="1" x14ac:dyDescent="0.25">
      <c r="A2" s="162" t="s">
        <v>64</v>
      </c>
      <c r="B2" s="162"/>
      <c r="C2" s="162"/>
      <c r="D2" s="162"/>
      <c r="E2" s="162"/>
    </row>
    <row r="3" spans="1:5" ht="15" customHeight="1" x14ac:dyDescent="0.25">
      <c r="A3" s="44" t="s">
        <v>21</v>
      </c>
      <c r="B3" s="10"/>
      <c r="C3" s="163" t="s">
        <v>114</v>
      </c>
      <c r="D3" s="163"/>
      <c r="E3" s="163"/>
    </row>
    <row r="4" spans="1:5" s="46" customFormat="1" ht="15.95" customHeight="1" x14ac:dyDescent="0.25">
      <c r="A4" s="58"/>
      <c r="B4" s="58"/>
      <c r="C4" s="10"/>
      <c r="D4" s="58"/>
      <c r="E4" s="58"/>
    </row>
    <row r="5" spans="1:5" ht="21" customHeight="1" x14ac:dyDescent="0.2">
      <c r="A5" s="160" t="s">
        <v>50</v>
      </c>
      <c r="B5" s="160"/>
      <c r="C5" s="160"/>
      <c r="D5" s="160"/>
      <c r="E5" s="160"/>
    </row>
    <row r="6" spans="1:5" s="50" customFormat="1" hidden="1" x14ac:dyDescent="0.2">
      <c r="A6" s="161" t="s">
        <v>0</v>
      </c>
      <c r="B6" s="161"/>
      <c r="C6" s="161"/>
      <c r="D6" s="161"/>
      <c r="E6" s="161"/>
    </row>
    <row r="7" spans="1:5" ht="15" customHeight="1" x14ac:dyDescent="0.2">
      <c r="A7" s="15" t="s">
        <v>1</v>
      </c>
      <c r="B7" s="15" t="s">
        <v>59</v>
      </c>
      <c r="C7" s="15" t="s">
        <v>2</v>
      </c>
      <c r="D7" s="15" t="s">
        <v>3</v>
      </c>
      <c r="E7" s="15" t="s">
        <v>4</v>
      </c>
    </row>
    <row r="8" spans="1:5" ht="15" customHeight="1" x14ac:dyDescent="0.2">
      <c r="A8" s="54">
        <v>1</v>
      </c>
      <c r="B8" s="76" t="s">
        <v>115</v>
      </c>
      <c r="C8" s="14" t="s">
        <v>21</v>
      </c>
      <c r="D8" s="77">
        <v>1984</v>
      </c>
      <c r="E8" s="77">
        <v>2</v>
      </c>
    </row>
    <row r="9" spans="1:5" ht="15" customHeight="1" x14ac:dyDescent="0.2">
      <c r="A9" s="54">
        <v>2</v>
      </c>
      <c r="B9" s="76" t="s">
        <v>116</v>
      </c>
      <c r="C9" s="77" t="s">
        <v>21</v>
      </c>
      <c r="D9" s="77">
        <v>1991</v>
      </c>
      <c r="E9" s="77">
        <v>2</v>
      </c>
    </row>
    <row r="10" spans="1:5" ht="15" customHeight="1" x14ac:dyDescent="0.2">
      <c r="A10" s="54">
        <v>3</v>
      </c>
      <c r="B10" s="21" t="s">
        <v>117</v>
      </c>
      <c r="C10" s="14" t="s">
        <v>118</v>
      </c>
      <c r="D10" s="14">
        <v>1980</v>
      </c>
      <c r="E10" s="14" t="s">
        <v>119</v>
      </c>
    </row>
    <row r="11" spans="1:5" ht="15" customHeight="1" x14ac:dyDescent="0.2">
      <c r="A11" s="54">
        <v>4</v>
      </c>
      <c r="B11" s="76" t="s">
        <v>120</v>
      </c>
      <c r="C11" s="77" t="s">
        <v>21</v>
      </c>
      <c r="D11" s="77">
        <v>1985</v>
      </c>
      <c r="E11" s="77">
        <v>2</v>
      </c>
    </row>
    <row r="12" spans="1:5" ht="15" customHeight="1" x14ac:dyDescent="0.2">
      <c r="A12" s="54">
        <v>5</v>
      </c>
      <c r="B12" s="76" t="s">
        <v>121</v>
      </c>
      <c r="C12" s="77" t="s">
        <v>21</v>
      </c>
      <c r="D12" s="77">
        <v>1990</v>
      </c>
      <c r="E12" s="77">
        <v>2</v>
      </c>
    </row>
    <row r="13" spans="1:5" ht="15" customHeight="1" x14ac:dyDescent="0.2">
      <c r="A13" s="54">
        <v>6</v>
      </c>
      <c r="B13" s="76" t="s">
        <v>122</v>
      </c>
      <c r="C13" s="77" t="s">
        <v>123</v>
      </c>
      <c r="D13" s="77"/>
      <c r="E13" s="78" t="s">
        <v>124</v>
      </c>
    </row>
    <row r="14" spans="1:5" ht="15" customHeight="1" x14ac:dyDescent="0.2">
      <c r="A14" s="54">
        <v>7</v>
      </c>
      <c r="B14" s="76" t="s">
        <v>125</v>
      </c>
      <c r="C14" s="77" t="s">
        <v>21</v>
      </c>
      <c r="D14" s="77">
        <v>1983</v>
      </c>
      <c r="E14" s="77">
        <v>2</v>
      </c>
    </row>
    <row r="15" spans="1:5" ht="15" customHeight="1" x14ac:dyDescent="0.2">
      <c r="A15" s="54">
        <v>8</v>
      </c>
      <c r="B15" s="76" t="s">
        <v>126</v>
      </c>
      <c r="C15" s="14" t="s">
        <v>118</v>
      </c>
      <c r="D15" s="77">
        <v>1983</v>
      </c>
      <c r="E15" s="77" t="s">
        <v>127</v>
      </c>
    </row>
    <row r="16" spans="1:5" ht="15" customHeight="1" x14ac:dyDescent="0.2">
      <c r="A16" s="54">
        <v>9</v>
      </c>
      <c r="B16" s="76" t="s">
        <v>128</v>
      </c>
      <c r="C16" s="77" t="s">
        <v>118</v>
      </c>
      <c r="D16" s="77">
        <v>1987</v>
      </c>
      <c r="E16" s="77">
        <v>1</v>
      </c>
    </row>
    <row r="17" spans="1:5" ht="15" customHeight="1" x14ac:dyDescent="0.2">
      <c r="A17" s="54">
        <v>10</v>
      </c>
      <c r="B17" s="76" t="s">
        <v>129</v>
      </c>
      <c r="C17" s="14" t="s">
        <v>130</v>
      </c>
      <c r="D17" s="77">
        <v>1981</v>
      </c>
      <c r="E17" s="14">
        <v>2</v>
      </c>
    </row>
    <row r="18" spans="1:5" ht="15" customHeight="1" x14ac:dyDescent="0.2">
      <c r="A18" s="54">
        <v>11</v>
      </c>
      <c r="B18" s="76" t="s">
        <v>131</v>
      </c>
      <c r="C18" s="14" t="s">
        <v>118</v>
      </c>
      <c r="D18" s="77">
        <v>1987</v>
      </c>
      <c r="E18" s="77">
        <v>3</v>
      </c>
    </row>
    <row r="19" spans="1:5" ht="15" customHeight="1" x14ac:dyDescent="0.2">
      <c r="A19" s="54">
        <v>12</v>
      </c>
      <c r="B19" s="76" t="s">
        <v>132</v>
      </c>
      <c r="C19" s="77" t="s">
        <v>118</v>
      </c>
      <c r="D19" s="77">
        <v>1988</v>
      </c>
      <c r="E19" s="77">
        <v>3</v>
      </c>
    </row>
    <row r="20" spans="1:5" ht="15" customHeight="1" x14ac:dyDescent="0.2">
      <c r="A20" s="54">
        <v>13</v>
      </c>
      <c r="B20" s="76" t="s">
        <v>133</v>
      </c>
      <c r="C20" s="14" t="s">
        <v>123</v>
      </c>
      <c r="D20" s="77"/>
      <c r="E20" s="77" t="s">
        <v>124</v>
      </c>
    </row>
    <row r="21" spans="1:5" ht="15" customHeight="1" x14ac:dyDescent="0.2">
      <c r="A21" s="54">
        <v>14</v>
      </c>
      <c r="B21" s="76" t="s">
        <v>134</v>
      </c>
      <c r="C21" s="14" t="s">
        <v>118</v>
      </c>
      <c r="D21" s="77"/>
      <c r="E21" s="77" t="s">
        <v>119</v>
      </c>
    </row>
    <row r="22" spans="1:5" ht="15" customHeight="1" x14ac:dyDescent="0.2">
      <c r="A22" s="54">
        <v>15</v>
      </c>
      <c r="B22" s="76" t="s">
        <v>135</v>
      </c>
      <c r="C22" s="77" t="s">
        <v>118</v>
      </c>
      <c r="D22" s="77"/>
      <c r="E22" s="77" t="s">
        <v>124</v>
      </c>
    </row>
    <row r="23" spans="1:5" ht="15" customHeight="1" x14ac:dyDescent="0.2">
      <c r="A23" s="54">
        <v>16</v>
      </c>
      <c r="B23" s="76" t="s">
        <v>136</v>
      </c>
      <c r="C23" s="77" t="s">
        <v>21</v>
      </c>
      <c r="D23" s="77">
        <v>1989</v>
      </c>
      <c r="E23" s="77">
        <v>1</v>
      </c>
    </row>
    <row r="24" spans="1:5" ht="15" customHeight="1" x14ac:dyDescent="0.2">
      <c r="A24" s="54">
        <v>17</v>
      </c>
      <c r="B24" s="76" t="s">
        <v>137</v>
      </c>
      <c r="C24" s="77" t="s">
        <v>130</v>
      </c>
      <c r="D24" s="77">
        <v>1981</v>
      </c>
      <c r="E24" s="77">
        <v>3</v>
      </c>
    </row>
    <row r="25" spans="1:5" ht="15" customHeight="1" x14ac:dyDescent="0.2">
      <c r="A25" s="54">
        <v>18</v>
      </c>
      <c r="B25" s="76" t="s">
        <v>138</v>
      </c>
      <c r="C25" s="77" t="s">
        <v>118</v>
      </c>
      <c r="D25" s="77">
        <v>1985</v>
      </c>
      <c r="E25" s="77" t="s">
        <v>119</v>
      </c>
    </row>
    <row r="26" spans="1:5" ht="15" customHeight="1" x14ac:dyDescent="0.2">
      <c r="A26" s="54">
        <v>19</v>
      </c>
      <c r="B26" s="76" t="s">
        <v>139</v>
      </c>
      <c r="C26" s="14" t="s">
        <v>130</v>
      </c>
      <c r="D26" s="77">
        <v>1990</v>
      </c>
      <c r="E26" s="14" t="s">
        <v>124</v>
      </c>
    </row>
    <row r="27" spans="1:5" ht="15" customHeight="1" x14ac:dyDescent="0.2">
      <c r="A27" s="54">
        <v>20</v>
      </c>
      <c r="B27" s="76" t="s">
        <v>140</v>
      </c>
      <c r="C27" s="77" t="s">
        <v>21</v>
      </c>
      <c r="D27" s="77">
        <v>1986</v>
      </c>
      <c r="E27" s="77">
        <v>2</v>
      </c>
    </row>
    <row r="28" spans="1:5" ht="15" customHeight="1" x14ac:dyDescent="0.2">
      <c r="A28" s="54">
        <v>21</v>
      </c>
      <c r="B28" s="76" t="s">
        <v>141</v>
      </c>
      <c r="C28" s="77" t="s">
        <v>123</v>
      </c>
      <c r="D28" s="77"/>
      <c r="E28" s="77" t="s">
        <v>124</v>
      </c>
    </row>
    <row r="29" spans="1:5" ht="15" customHeight="1" x14ac:dyDescent="0.2">
      <c r="A29" s="54">
        <v>22</v>
      </c>
      <c r="B29" s="76" t="s">
        <v>142</v>
      </c>
      <c r="C29" s="91" t="s">
        <v>123</v>
      </c>
      <c r="D29" s="77">
        <v>0</v>
      </c>
      <c r="E29" s="77" t="s">
        <v>124</v>
      </c>
    </row>
    <row r="30" spans="1:5" ht="15" customHeight="1" x14ac:dyDescent="0.2">
      <c r="A30" s="54">
        <v>23</v>
      </c>
      <c r="B30" s="76" t="s">
        <v>143</v>
      </c>
      <c r="C30" s="77" t="s">
        <v>21</v>
      </c>
      <c r="D30" s="77">
        <v>1986</v>
      </c>
      <c r="E30" s="78" t="s">
        <v>124</v>
      </c>
    </row>
    <row r="31" spans="1:5" ht="15" customHeight="1" x14ac:dyDescent="0.2">
      <c r="A31" s="54">
        <v>24</v>
      </c>
      <c r="B31" s="21" t="s">
        <v>144</v>
      </c>
      <c r="C31" s="14" t="s">
        <v>118</v>
      </c>
      <c r="D31" s="14"/>
      <c r="E31" s="14" t="s">
        <v>124</v>
      </c>
    </row>
    <row r="32" spans="1:5" ht="15" customHeight="1" x14ac:dyDescent="0.2">
      <c r="A32" s="54">
        <v>25</v>
      </c>
      <c r="B32" s="76" t="s">
        <v>145</v>
      </c>
      <c r="C32" s="77" t="s">
        <v>118</v>
      </c>
      <c r="D32" s="77">
        <v>1985</v>
      </c>
      <c r="E32" s="77" t="s">
        <v>124</v>
      </c>
    </row>
    <row r="33" spans="1:5" ht="15" customHeight="1" x14ac:dyDescent="0.2">
      <c r="A33" s="54">
        <v>26</v>
      </c>
      <c r="B33" s="76" t="s">
        <v>146</v>
      </c>
      <c r="C33" s="77" t="s">
        <v>118</v>
      </c>
      <c r="D33" s="77">
        <v>1982</v>
      </c>
      <c r="E33" s="77" t="s">
        <v>119</v>
      </c>
    </row>
    <row r="34" spans="1:5" ht="15" customHeight="1" x14ac:dyDescent="0.2">
      <c r="A34" s="54">
        <v>27</v>
      </c>
      <c r="B34" s="76" t="s">
        <v>147</v>
      </c>
      <c r="C34" s="14" t="s">
        <v>130</v>
      </c>
      <c r="D34" s="77">
        <v>1986</v>
      </c>
      <c r="E34" s="77">
        <v>2</v>
      </c>
    </row>
    <row r="35" spans="1:5" ht="15" customHeight="1" x14ac:dyDescent="0.2">
      <c r="A35" s="54">
        <v>28</v>
      </c>
      <c r="B35" s="76" t="s">
        <v>148</v>
      </c>
      <c r="C35" s="77" t="s">
        <v>118</v>
      </c>
      <c r="D35" s="77">
        <v>1988</v>
      </c>
      <c r="E35" s="77">
        <v>2</v>
      </c>
    </row>
    <row r="36" spans="1:5" ht="15" customHeight="1" x14ac:dyDescent="0.2">
      <c r="A36" s="54">
        <v>29</v>
      </c>
      <c r="B36" s="76" t="s">
        <v>149</v>
      </c>
      <c r="C36" s="77" t="s">
        <v>21</v>
      </c>
      <c r="D36" s="77"/>
      <c r="E36" s="77" t="s">
        <v>124</v>
      </c>
    </row>
    <row r="37" spans="1:5" ht="15" customHeight="1" x14ac:dyDescent="0.2">
      <c r="A37" s="54">
        <v>30</v>
      </c>
      <c r="B37" s="76" t="s">
        <v>150</v>
      </c>
      <c r="C37" s="77" t="s">
        <v>130</v>
      </c>
      <c r="D37" s="77">
        <v>1977</v>
      </c>
      <c r="E37" s="77">
        <v>2</v>
      </c>
    </row>
    <row r="38" spans="1:5" ht="15" customHeight="1" x14ac:dyDescent="0.2">
      <c r="A38" s="54">
        <v>31</v>
      </c>
      <c r="B38" s="76" t="s">
        <v>151</v>
      </c>
      <c r="C38" s="14" t="s">
        <v>21</v>
      </c>
      <c r="D38" s="77">
        <v>1989</v>
      </c>
      <c r="E38" s="77">
        <v>1</v>
      </c>
    </row>
    <row r="39" spans="1:5" s="3" customFormat="1" ht="15" customHeight="1" x14ac:dyDescent="0.2">
      <c r="A39"/>
      <c r="B39" s="5"/>
      <c r="C39" s="2"/>
      <c r="D39"/>
      <c r="E39"/>
    </row>
    <row r="40" spans="1:5" s="3" customFormat="1" ht="15" customHeight="1" x14ac:dyDescent="0.2">
      <c r="B40" s="57" t="s">
        <v>16</v>
      </c>
      <c r="C40" s="158" t="s">
        <v>65</v>
      </c>
      <c r="D40" s="158"/>
      <c r="E40" s="158"/>
    </row>
    <row r="41" spans="1:5" x14ac:dyDescent="0.2">
      <c r="A41" s="3"/>
      <c r="B41" s="57" t="s">
        <v>17</v>
      </c>
      <c r="C41" s="158" t="s">
        <v>66</v>
      </c>
      <c r="D41" s="158"/>
      <c r="E41" s="158"/>
    </row>
  </sheetData>
  <sortState ref="A8:E38">
    <sortCondition ref="A8"/>
  </sortState>
  <dataConsolidate/>
  <mergeCells count="8">
    <mergeCell ref="C40:E40"/>
    <mergeCell ref="C41:E41"/>
    <mergeCell ref="A1:E1"/>
    <mergeCell ref="A5:E5"/>
    <mergeCell ref="C6:E6"/>
    <mergeCell ref="A2:E2"/>
    <mergeCell ref="C3:E3"/>
    <mergeCell ref="A6:B6"/>
  </mergeCells>
  <phoneticPr fontId="5" type="noConversion"/>
  <dataValidations count="4">
    <dataValidation type="list" allowBlank="1" showInputMessage="1" showErrorMessage="1" errorTitle="Неправильный разряд" error="Вы ввели неправильный разряд. Можно вводить только те разряды, которые имеются в выпадающем списке. Повторите ввод!" sqref="D1:E1 E7 E9:E39">
      <formula1>"МСМК, МС, КМС, 1, 2, 3, 1 ю, 2 ю, 3 ю, б/р, зб/р,"</formula1>
    </dataValidation>
    <dataValidation type="whole" allowBlank="1" showInputMessage="1" showErrorMessage="1" errorTitle="Неправильный год рождения" error="Вы ввели неправильный год рождения спортсмена. В соревнованиях может участвовать люди от 7 до 90 лет." sqref="D9:D39">
      <formula1>YEAR(TODAY())-90</formula1>
      <formula2>YEAR(TODAY())-7</formula2>
    </dataValidation>
    <dataValidation type="list" allowBlank="1" showInputMessage="1" showErrorMessage="1" errorTitle="Неправильный разряд" error="Вы ввели неправильный разряд. Можно вводить только те разряды, которые имеются в выпадающем списке. Повторите ввод!" sqref="E8">
      <formula1>"МСМК, МС, КМС, 1, 2, 3, 1 ю, 2 ю, 3 ю, б/р, зб/р,"</formula1>
    </dataValidation>
    <dataValidation type="whole" allowBlank="1" showInputMessage="1" showErrorMessage="1" errorTitle="Неправильный год рождения" error="Вы ввели неправильный год рождения спортсмена. В соревнованиях может участвовать люди от 7 до 90 лет." sqref="D8">
      <formula1>YEAR(TODAY())-90</formula1>
      <formula2>YEAR(TODAY())-7</formula2>
    </dataValidation>
  </dataValidations>
  <printOptions horizontalCentered="1"/>
  <pageMargins left="0.78740157480314965" right="0.78740157480314965" top="0.98425196850393704" bottom="0.98425196850393704" header="0.51181102362204722" footer="0.51181102362204722"/>
  <pageSetup paperSize="9" scale="80" orientation="portrait" blackAndWhite="1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U43"/>
  <sheetViews>
    <sheetView showZeros="0" zoomScaleNormal="100" zoomScaleSheetLayoutView="55" workbookViewId="0">
      <pane xSplit="9" ySplit="7" topLeftCell="J8" activePane="bottomRight" state="frozen"/>
      <selection activeCell="G13" sqref="G13"/>
      <selection pane="topRight" activeCell="G13" sqref="G13"/>
      <selection pane="bottomLeft" activeCell="G13" sqref="G13"/>
      <selection pane="bottomRight" activeCell="F15" sqref="F15"/>
    </sheetView>
  </sheetViews>
  <sheetFormatPr defaultRowHeight="12.75" x14ac:dyDescent="0.2"/>
  <cols>
    <col min="1" max="1" width="11.7109375" style="50" customWidth="1"/>
    <col min="2" max="2" width="23.140625" style="50" customWidth="1"/>
    <col min="3" max="3" width="13.28515625" style="61" customWidth="1"/>
    <col min="4" max="4" width="7.7109375" style="50" customWidth="1"/>
    <col min="5" max="8" width="10.7109375" style="50" customWidth="1"/>
    <col min="9" max="9" width="17.140625" style="74" customWidth="1"/>
    <col min="10" max="10" width="12.28515625" style="80" customWidth="1"/>
    <col min="11" max="11" width="10.28515625" style="80" customWidth="1"/>
    <col min="12" max="15" width="11.7109375" style="80" customWidth="1"/>
    <col min="16" max="16384" width="9.140625" style="50"/>
  </cols>
  <sheetData>
    <row r="1" spans="1:21" ht="38.1" customHeight="1" x14ac:dyDescent="0.2">
      <c r="A1" s="170" t="str">
        <f>Стартовый!A2</f>
        <v>Спортивный фестиваль "Веселые старты"</v>
      </c>
      <c r="B1" s="170"/>
      <c r="C1" s="170"/>
      <c r="D1" s="170"/>
      <c r="E1" s="170"/>
      <c r="F1" s="170"/>
      <c r="G1" s="170"/>
      <c r="H1" s="170"/>
      <c r="I1" s="71" t="s">
        <v>26</v>
      </c>
      <c r="J1" s="79"/>
      <c r="K1" s="84"/>
    </row>
    <row r="2" spans="1:21" ht="15" customHeight="1" x14ac:dyDescent="0.25">
      <c r="A2" s="44" t="s">
        <v>21</v>
      </c>
      <c r="B2" s="43"/>
      <c r="C2" s="10"/>
      <c r="D2" s="43"/>
      <c r="E2" s="171" t="s">
        <v>114</v>
      </c>
      <c r="F2" s="171"/>
      <c r="G2" s="171"/>
      <c r="H2" s="171"/>
      <c r="J2" s="174" t="s">
        <v>62</v>
      </c>
      <c r="K2" s="175" t="s">
        <v>63</v>
      </c>
      <c r="L2" s="164" t="s">
        <v>45</v>
      </c>
      <c r="M2" s="165"/>
      <c r="N2" s="165"/>
      <c r="O2" s="166"/>
    </row>
    <row r="3" spans="1:21" s="46" customFormat="1" ht="17.100000000000001" customHeight="1" x14ac:dyDescent="0.25">
      <c r="A3" s="172" t="s">
        <v>27</v>
      </c>
      <c r="B3" s="172"/>
      <c r="C3" s="172"/>
      <c r="D3" s="172"/>
      <c r="E3" s="172"/>
      <c r="F3" s="172"/>
      <c r="G3" s="172"/>
      <c r="H3" s="172"/>
      <c r="I3" s="72"/>
      <c r="J3" s="174"/>
      <c r="K3" s="175"/>
      <c r="L3" s="167"/>
      <c r="M3" s="168"/>
      <c r="N3" s="168"/>
      <c r="O3" s="169"/>
      <c r="T3" s="50"/>
      <c r="U3" s="50"/>
    </row>
    <row r="4" spans="1:21" ht="15.95" customHeight="1" x14ac:dyDescent="0.2">
      <c r="A4" s="173" t="s">
        <v>51</v>
      </c>
      <c r="B4" s="173"/>
      <c r="C4" s="173"/>
      <c r="D4" s="173"/>
      <c r="E4" s="173"/>
      <c r="F4" s="173"/>
      <c r="G4" s="173"/>
      <c r="H4" s="173"/>
      <c r="I4" s="71"/>
      <c r="J4" s="174"/>
      <c r="K4" s="175"/>
      <c r="L4" s="176" t="s">
        <v>46</v>
      </c>
      <c r="M4" s="177"/>
      <c r="N4" s="177"/>
      <c r="O4" s="178"/>
    </row>
    <row r="5" spans="1:21" ht="12.75" customHeight="1" x14ac:dyDescent="0.2">
      <c r="A5" s="11"/>
      <c r="B5" s="11"/>
      <c r="C5" s="56"/>
      <c r="D5" s="11"/>
      <c r="E5" s="12"/>
      <c r="F5" s="11"/>
      <c r="G5" s="45"/>
      <c r="H5" s="45"/>
      <c r="I5" s="71"/>
      <c r="J5" s="174"/>
      <c r="K5" s="175"/>
      <c r="L5" s="179"/>
      <c r="M5" s="180"/>
      <c r="N5" s="180"/>
      <c r="O5" s="181"/>
    </row>
    <row r="6" spans="1:21" hidden="1" x14ac:dyDescent="0.2">
      <c r="A6" s="183" t="s">
        <v>0</v>
      </c>
      <c r="B6" s="183"/>
      <c r="C6" s="183">
        <f>Стартовый!C6</f>
        <v>0</v>
      </c>
      <c r="D6" s="183"/>
      <c r="E6" s="183"/>
      <c r="F6" s="11"/>
      <c r="G6" s="11"/>
      <c r="H6" s="11"/>
      <c r="I6" s="71"/>
      <c r="J6" s="81"/>
    </row>
    <row r="7" spans="1:21" ht="15" customHeight="1" x14ac:dyDescent="0.2">
      <c r="A7" s="120" t="s">
        <v>1</v>
      </c>
      <c r="B7" s="120" t="s">
        <v>59</v>
      </c>
      <c r="C7" s="120" t="s">
        <v>2</v>
      </c>
      <c r="D7" s="120" t="s">
        <v>3</v>
      </c>
      <c r="E7" s="120" t="s">
        <v>4</v>
      </c>
      <c r="F7" s="120" t="s">
        <v>5</v>
      </c>
      <c r="G7" s="120" t="s">
        <v>6</v>
      </c>
      <c r="H7" s="120" t="s">
        <v>7</v>
      </c>
      <c r="I7" s="96"/>
      <c r="J7" s="184" t="s">
        <v>26</v>
      </c>
      <c r="K7" s="185"/>
      <c r="L7" s="185"/>
      <c r="M7" s="105"/>
      <c r="N7" s="105"/>
      <c r="O7" s="105"/>
    </row>
    <row r="8" spans="1:21" ht="15" customHeight="1" x14ac:dyDescent="0.2">
      <c r="A8" s="121">
        <v>1</v>
      </c>
      <c r="B8" s="76" t="s">
        <v>115</v>
      </c>
      <c r="C8" s="156" t="s">
        <v>21</v>
      </c>
      <c r="D8" s="77">
        <v>1984</v>
      </c>
      <c r="E8" s="77">
        <v>2</v>
      </c>
      <c r="F8" s="18">
        <v>9.8958333333333344E-5</v>
      </c>
      <c r="G8" s="18">
        <v>2.4305555555555558E-5</v>
      </c>
      <c r="H8" s="18">
        <v>1.232638888888889E-4</v>
      </c>
      <c r="I8" s="90"/>
      <c r="J8" s="81">
        <v>1</v>
      </c>
      <c r="P8" s="80"/>
    </row>
    <row r="9" spans="1:21" ht="15" customHeight="1" x14ac:dyDescent="0.2">
      <c r="A9" s="121">
        <v>2</v>
      </c>
      <c r="B9" s="76" t="s">
        <v>116</v>
      </c>
      <c r="C9" s="77" t="s">
        <v>21</v>
      </c>
      <c r="D9" s="77">
        <v>1991</v>
      </c>
      <c r="E9" s="77">
        <v>2</v>
      </c>
      <c r="F9" s="18">
        <v>7.2337962962962972E-5</v>
      </c>
      <c r="G9" s="18">
        <v>9.4907407407407389E-5</v>
      </c>
      <c r="H9" s="18">
        <v>1.6724537037037036E-4</v>
      </c>
      <c r="I9" s="90"/>
      <c r="J9" s="81"/>
      <c r="P9" s="80"/>
    </row>
    <row r="10" spans="1:21" ht="15" customHeight="1" x14ac:dyDescent="0.2">
      <c r="A10" s="121">
        <v>3</v>
      </c>
      <c r="B10" s="157" t="s">
        <v>117</v>
      </c>
      <c r="C10" s="156" t="s">
        <v>118</v>
      </c>
      <c r="D10" s="156">
        <v>1980</v>
      </c>
      <c r="E10" s="156" t="s">
        <v>119</v>
      </c>
      <c r="F10" s="18">
        <v>1.1805555555555555E-4</v>
      </c>
      <c r="G10" s="18">
        <v>5.5555555555555572E-5</v>
      </c>
      <c r="H10" s="18">
        <v>1.7361111111111112E-4</v>
      </c>
      <c r="I10" s="90"/>
      <c r="J10" s="81"/>
      <c r="K10" s="82"/>
      <c r="P10" s="80"/>
    </row>
    <row r="11" spans="1:21" ht="15" customHeight="1" x14ac:dyDescent="0.2">
      <c r="A11" s="121">
        <v>4</v>
      </c>
      <c r="B11" s="76" t="s">
        <v>120</v>
      </c>
      <c r="C11" s="77" t="s">
        <v>21</v>
      </c>
      <c r="D11" s="77">
        <v>1985</v>
      </c>
      <c r="E11" s="77">
        <v>2</v>
      </c>
      <c r="F11" s="18">
        <v>8.4374999999999991E-5</v>
      </c>
      <c r="G11" s="18">
        <v>9.1319444444444448E-5</v>
      </c>
      <c r="H11" s="18">
        <v>1.7569444444444444E-4</v>
      </c>
      <c r="I11" s="90"/>
      <c r="J11" s="81"/>
      <c r="K11" s="83"/>
      <c r="P11" s="80"/>
    </row>
    <row r="12" spans="1:21" ht="15" customHeight="1" x14ac:dyDescent="0.2">
      <c r="A12" s="121">
        <v>5</v>
      </c>
      <c r="B12" s="76" t="s">
        <v>121</v>
      </c>
      <c r="C12" s="77" t="s">
        <v>21</v>
      </c>
      <c r="D12" s="77">
        <v>1990</v>
      </c>
      <c r="E12" s="77">
        <v>2</v>
      </c>
      <c r="F12" s="18">
        <v>9.0277777777777774E-5</v>
      </c>
      <c r="G12" s="18">
        <v>9.4791666666666662E-5</v>
      </c>
      <c r="H12" s="18">
        <v>1.8506944444444444E-4</v>
      </c>
      <c r="I12" s="90"/>
      <c r="J12" s="81"/>
      <c r="K12" s="83"/>
      <c r="P12" s="80"/>
    </row>
    <row r="13" spans="1:21" ht="15" customHeight="1" x14ac:dyDescent="0.2">
      <c r="A13" s="121">
        <v>6</v>
      </c>
      <c r="B13" s="76" t="s">
        <v>122</v>
      </c>
      <c r="C13" s="77" t="s">
        <v>123</v>
      </c>
      <c r="D13" s="77"/>
      <c r="E13" s="78" t="s">
        <v>124</v>
      </c>
      <c r="F13" s="18">
        <v>9.1550925925925928E-5</v>
      </c>
      <c r="G13" s="18">
        <v>1.1967592592592592E-4</v>
      </c>
      <c r="H13" s="18">
        <v>2.1122685185185185E-4</v>
      </c>
      <c r="I13" s="90"/>
      <c r="J13" s="81"/>
      <c r="K13" s="81"/>
      <c r="P13" s="80"/>
    </row>
    <row r="14" spans="1:21" ht="15" customHeight="1" x14ac:dyDescent="0.2">
      <c r="A14" s="121">
        <v>7</v>
      </c>
      <c r="B14" s="76" t="s">
        <v>125</v>
      </c>
      <c r="C14" s="77" t="s">
        <v>21</v>
      </c>
      <c r="D14" s="77">
        <v>1983</v>
      </c>
      <c r="E14" s="77">
        <v>2</v>
      </c>
      <c r="F14" s="18">
        <v>9.7800925925925917E-5</v>
      </c>
      <c r="G14" s="18">
        <v>1.1574074074074076E-4</v>
      </c>
      <c r="H14" s="18">
        <v>2.1354166666666668E-4</v>
      </c>
      <c r="I14" s="90"/>
      <c r="J14" s="81"/>
      <c r="K14" s="81"/>
      <c r="P14" s="80"/>
    </row>
    <row r="15" spans="1:21" ht="15" customHeight="1" x14ac:dyDescent="0.2">
      <c r="A15" s="121">
        <v>8</v>
      </c>
      <c r="B15" s="76" t="s">
        <v>126</v>
      </c>
      <c r="C15" s="156" t="s">
        <v>118</v>
      </c>
      <c r="D15" s="77">
        <v>1983</v>
      </c>
      <c r="E15" s="77" t="s">
        <v>127</v>
      </c>
      <c r="F15" s="18">
        <v>1.1504629629629629E-4</v>
      </c>
      <c r="G15" s="18">
        <v>1.2071759259259261E-4</v>
      </c>
      <c r="H15" s="18">
        <v>2.357638888888889E-4</v>
      </c>
      <c r="I15" s="90"/>
      <c r="J15" s="81"/>
      <c r="K15" s="81"/>
      <c r="P15" s="80"/>
    </row>
    <row r="16" spans="1:21" ht="15" customHeight="1" x14ac:dyDescent="0.2">
      <c r="A16" s="121">
        <v>9</v>
      </c>
      <c r="B16" s="76" t="s">
        <v>128</v>
      </c>
      <c r="C16" s="77" t="s">
        <v>118</v>
      </c>
      <c r="D16" s="77">
        <v>1987</v>
      </c>
      <c r="E16" s="77">
        <v>1</v>
      </c>
      <c r="F16" s="18">
        <v>1.2465277777777776E-4</v>
      </c>
      <c r="G16" s="18">
        <v>1.2256944444444443E-4</v>
      </c>
      <c r="H16" s="18">
        <v>2.4722222222222219E-4</v>
      </c>
      <c r="I16" s="90"/>
      <c r="J16" s="81"/>
      <c r="K16" s="81"/>
      <c r="P16" s="80"/>
    </row>
    <row r="17" spans="1:16" ht="15" customHeight="1" x14ac:dyDescent="0.2">
      <c r="A17" s="121">
        <v>10</v>
      </c>
      <c r="B17" s="76" t="s">
        <v>129</v>
      </c>
      <c r="C17" s="156" t="s">
        <v>130</v>
      </c>
      <c r="D17" s="77">
        <v>1981</v>
      </c>
      <c r="E17" s="156">
        <v>2</v>
      </c>
      <c r="F17" s="18">
        <v>1.454861111111111E-4</v>
      </c>
      <c r="G17" s="18">
        <v>1.273148148148148E-4</v>
      </c>
      <c r="H17" s="18">
        <v>2.728009259259259E-4</v>
      </c>
      <c r="I17" s="90"/>
      <c r="J17" s="81"/>
      <c r="K17" s="81"/>
      <c r="P17" s="80"/>
    </row>
    <row r="18" spans="1:16" ht="15" customHeight="1" x14ac:dyDescent="0.2">
      <c r="A18" s="121">
        <v>11</v>
      </c>
      <c r="B18" s="76" t="s">
        <v>131</v>
      </c>
      <c r="C18" s="156" t="s">
        <v>118</v>
      </c>
      <c r="D18" s="77">
        <v>1987</v>
      </c>
      <c r="E18" s="77">
        <v>3</v>
      </c>
      <c r="F18" s="18">
        <v>1.273148148148148E-4</v>
      </c>
      <c r="G18" s="18">
        <v>1.4594907407407411E-4</v>
      </c>
      <c r="H18" s="18">
        <v>2.7326388888888892E-4</v>
      </c>
      <c r="I18" s="90"/>
      <c r="J18" s="81"/>
      <c r="K18" s="81"/>
      <c r="P18" s="80"/>
    </row>
    <row r="19" spans="1:16" ht="15" customHeight="1" x14ac:dyDescent="0.2">
      <c r="A19" s="121">
        <v>12</v>
      </c>
      <c r="B19" s="76" t="s">
        <v>132</v>
      </c>
      <c r="C19" s="77" t="s">
        <v>118</v>
      </c>
      <c r="D19" s="77">
        <v>1988</v>
      </c>
      <c r="E19" s="77">
        <v>3</v>
      </c>
      <c r="F19" s="18">
        <v>1.3622685185185184E-4</v>
      </c>
      <c r="G19" s="18">
        <v>1.3888888888888889E-4</v>
      </c>
      <c r="H19" s="18">
        <v>2.751157407407407E-4</v>
      </c>
      <c r="I19" s="90"/>
      <c r="J19" s="81"/>
      <c r="K19" s="81"/>
      <c r="P19" s="80"/>
    </row>
    <row r="20" spans="1:16" ht="15" customHeight="1" x14ac:dyDescent="0.2">
      <c r="A20" s="121">
        <v>13</v>
      </c>
      <c r="B20" s="76" t="s">
        <v>133</v>
      </c>
      <c r="C20" s="156" t="s">
        <v>123</v>
      </c>
      <c r="D20" s="77"/>
      <c r="E20" s="77" t="s">
        <v>124</v>
      </c>
      <c r="F20" s="18">
        <v>1.5046296296296297E-4</v>
      </c>
      <c r="G20" s="18">
        <v>1.3252314814814813E-4</v>
      </c>
      <c r="H20" s="18">
        <v>2.7777777777777778E-4</v>
      </c>
      <c r="I20" s="90"/>
      <c r="J20" s="81"/>
      <c r="K20" s="81"/>
      <c r="P20" s="80"/>
    </row>
    <row r="21" spans="1:16" ht="15" customHeight="1" x14ac:dyDescent="0.2">
      <c r="A21" s="121">
        <v>14</v>
      </c>
      <c r="B21" s="76" t="s">
        <v>134</v>
      </c>
      <c r="C21" s="156" t="s">
        <v>118</v>
      </c>
      <c r="D21" s="77"/>
      <c r="E21" s="77" t="s">
        <v>119</v>
      </c>
      <c r="F21" s="18">
        <v>1.3888888888888889E-4</v>
      </c>
      <c r="G21" s="18">
        <v>1.50462962962963E-4</v>
      </c>
      <c r="H21" s="18">
        <v>2.8935185185185189E-4</v>
      </c>
      <c r="I21" s="90"/>
      <c r="J21" s="81"/>
      <c r="K21" s="81"/>
      <c r="P21" s="80"/>
    </row>
    <row r="22" spans="1:16" ht="15" customHeight="1" x14ac:dyDescent="0.2">
      <c r="A22" s="121">
        <v>15</v>
      </c>
      <c r="B22" s="76" t="s">
        <v>135</v>
      </c>
      <c r="C22" s="77" t="s">
        <v>118</v>
      </c>
      <c r="D22" s="77"/>
      <c r="E22" s="77" t="s">
        <v>124</v>
      </c>
      <c r="F22" s="18">
        <v>1.6643518518518518E-4</v>
      </c>
      <c r="G22" s="18">
        <v>1.2453703703703702E-4</v>
      </c>
      <c r="H22" s="18">
        <v>2.909722222222222E-4</v>
      </c>
      <c r="I22" s="90"/>
      <c r="J22" s="81"/>
      <c r="K22" s="81"/>
      <c r="P22" s="80"/>
    </row>
    <row r="23" spans="1:16" ht="15" customHeight="1" x14ac:dyDescent="0.2">
      <c r="A23" s="121">
        <v>16</v>
      </c>
      <c r="B23" s="76" t="s">
        <v>136</v>
      </c>
      <c r="C23" s="77" t="s">
        <v>21</v>
      </c>
      <c r="D23" s="77">
        <v>1989</v>
      </c>
      <c r="E23" s="77">
        <v>1</v>
      </c>
      <c r="F23" s="18">
        <v>1.0486111111111111E-4</v>
      </c>
      <c r="G23" s="18">
        <v>1.9606481481481482E-4</v>
      </c>
      <c r="H23" s="18">
        <v>3.0092592592592595E-4</v>
      </c>
      <c r="I23" s="90"/>
      <c r="J23" s="81"/>
      <c r="K23" s="81"/>
      <c r="P23" s="80"/>
    </row>
    <row r="24" spans="1:16" ht="15" customHeight="1" x14ac:dyDescent="0.2">
      <c r="A24" s="121">
        <v>17</v>
      </c>
      <c r="B24" s="76" t="s">
        <v>137</v>
      </c>
      <c r="C24" s="77" t="s">
        <v>130</v>
      </c>
      <c r="D24" s="77">
        <v>1981</v>
      </c>
      <c r="E24" s="77">
        <v>3</v>
      </c>
      <c r="F24" s="18">
        <v>1.6365740740740739E-4</v>
      </c>
      <c r="G24" s="18">
        <v>1.3923611111111114E-4</v>
      </c>
      <c r="H24" s="18">
        <v>3.0289351851851853E-4</v>
      </c>
      <c r="I24" s="90"/>
      <c r="J24" s="81"/>
      <c r="K24" s="81"/>
      <c r="P24" s="80"/>
    </row>
    <row r="25" spans="1:16" ht="15" customHeight="1" x14ac:dyDescent="0.2">
      <c r="A25" s="121">
        <v>18</v>
      </c>
      <c r="B25" s="76" t="s">
        <v>138</v>
      </c>
      <c r="C25" s="77" t="s">
        <v>118</v>
      </c>
      <c r="D25" s="77">
        <v>1985</v>
      </c>
      <c r="E25" s="77" t="s">
        <v>119</v>
      </c>
      <c r="F25" s="18">
        <v>1.4050925925925925E-4</v>
      </c>
      <c r="G25" s="18">
        <v>1.7962962962962965E-4</v>
      </c>
      <c r="H25" s="18">
        <v>3.201388888888889E-4</v>
      </c>
      <c r="I25" s="90"/>
      <c r="J25" s="81"/>
      <c r="K25" s="81"/>
      <c r="P25" s="80"/>
    </row>
    <row r="26" spans="1:16" ht="15" customHeight="1" x14ac:dyDescent="0.2">
      <c r="A26" s="121">
        <v>19</v>
      </c>
      <c r="B26" s="76" t="s">
        <v>139</v>
      </c>
      <c r="C26" s="156" t="s">
        <v>130</v>
      </c>
      <c r="D26" s="77">
        <v>1990</v>
      </c>
      <c r="E26" s="156" t="s">
        <v>124</v>
      </c>
      <c r="F26" s="18">
        <v>1.6180555555555558E-4</v>
      </c>
      <c r="G26" s="18">
        <v>1.6539351851851852E-4</v>
      </c>
      <c r="H26" s="18">
        <v>3.271990740740741E-4</v>
      </c>
      <c r="I26" s="90"/>
      <c r="J26" s="81"/>
      <c r="K26" s="81"/>
      <c r="P26" s="80"/>
    </row>
    <row r="27" spans="1:16" ht="15" customHeight="1" x14ac:dyDescent="0.2">
      <c r="A27" s="121">
        <v>20</v>
      </c>
      <c r="B27" s="76" t="s">
        <v>140</v>
      </c>
      <c r="C27" s="77" t="s">
        <v>21</v>
      </c>
      <c r="D27" s="77">
        <v>1986</v>
      </c>
      <c r="E27" s="77">
        <v>2</v>
      </c>
      <c r="F27" s="18">
        <v>1.8020833333333333E-4</v>
      </c>
      <c r="G27" s="18">
        <v>1.7083333333333328E-4</v>
      </c>
      <c r="H27" s="18">
        <v>3.510416666666666E-4</v>
      </c>
      <c r="I27" s="90"/>
      <c r="J27" s="81"/>
      <c r="K27" s="81"/>
      <c r="P27" s="80"/>
    </row>
    <row r="28" spans="1:16" ht="15" customHeight="1" x14ac:dyDescent="0.2">
      <c r="A28" s="121">
        <v>21</v>
      </c>
      <c r="B28" s="76" t="s">
        <v>141</v>
      </c>
      <c r="C28" s="77" t="s">
        <v>123</v>
      </c>
      <c r="D28" s="77"/>
      <c r="E28" s="77" t="s">
        <v>124</v>
      </c>
      <c r="F28" s="18">
        <v>1.761574074074074E-4</v>
      </c>
      <c r="G28" s="18">
        <v>1.7650462962962962E-4</v>
      </c>
      <c r="H28" s="18">
        <v>3.5266203703703702E-4</v>
      </c>
      <c r="I28" s="90"/>
      <c r="J28" s="81"/>
      <c r="K28" s="81"/>
      <c r="P28" s="80"/>
    </row>
    <row r="29" spans="1:16" ht="15" customHeight="1" x14ac:dyDescent="0.2">
      <c r="A29" s="121">
        <v>22</v>
      </c>
      <c r="B29" s="76" t="s">
        <v>142</v>
      </c>
      <c r="C29" s="91" t="s">
        <v>123</v>
      </c>
      <c r="D29" s="77">
        <v>0</v>
      </c>
      <c r="E29" s="77" t="s">
        <v>124</v>
      </c>
      <c r="F29" s="18">
        <v>1.9768518518518515E-4</v>
      </c>
      <c r="G29" s="18">
        <v>1.7546296296296296E-4</v>
      </c>
      <c r="H29" s="18">
        <v>3.7314814814814811E-4</v>
      </c>
      <c r="I29" s="90"/>
      <c r="J29" s="81"/>
      <c r="K29" s="81"/>
      <c r="P29" s="80"/>
    </row>
    <row r="30" spans="1:16" ht="15" customHeight="1" x14ac:dyDescent="0.2">
      <c r="A30" s="121">
        <v>23</v>
      </c>
      <c r="B30" s="76" t="s">
        <v>143</v>
      </c>
      <c r="C30" s="77" t="s">
        <v>21</v>
      </c>
      <c r="D30" s="77">
        <v>1986</v>
      </c>
      <c r="E30" s="78" t="s">
        <v>124</v>
      </c>
      <c r="F30" s="18">
        <v>1.8981481481481478E-4</v>
      </c>
      <c r="G30" s="18">
        <v>2.3321759259259262E-4</v>
      </c>
      <c r="H30" s="18">
        <v>4.230324074074074E-4</v>
      </c>
      <c r="I30" s="90"/>
      <c r="J30" s="81"/>
      <c r="K30" s="81"/>
      <c r="P30" s="80"/>
    </row>
    <row r="31" spans="1:16" ht="15" customHeight="1" x14ac:dyDescent="0.2">
      <c r="A31" s="121">
        <v>23</v>
      </c>
      <c r="B31" s="157" t="s">
        <v>144</v>
      </c>
      <c r="C31" s="156" t="s">
        <v>118</v>
      </c>
      <c r="D31" s="156"/>
      <c r="E31" s="156" t="s">
        <v>124</v>
      </c>
      <c r="F31" s="18">
        <v>2.2870370370370373E-4</v>
      </c>
      <c r="G31" s="18">
        <v>1.9432870370370367E-4</v>
      </c>
      <c r="H31" s="18">
        <v>4.230324074074074E-4</v>
      </c>
      <c r="I31" s="90"/>
      <c r="J31" s="81"/>
      <c r="K31" s="81"/>
      <c r="P31" s="80"/>
    </row>
    <row r="32" spans="1:16" ht="15" customHeight="1" x14ac:dyDescent="0.2">
      <c r="A32" s="121">
        <v>25</v>
      </c>
      <c r="B32" s="76" t="s">
        <v>145</v>
      </c>
      <c r="C32" s="77" t="s">
        <v>118</v>
      </c>
      <c r="D32" s="77">
        <v>1985</v>
      </c>
      <c r="E32" s="77" t="s">
        <v>124</v>
      </c>
      <c r="F32" s="18">
        <v>2.1481481481481479E-4</v>
      </c>
      <c r="G32" s="18">
        <v>2.4456018518518522E-4</v>
      </c>
      <c r="H32" s="18">
        <v>4.5937499999999999E-4</v>
      </c>
      <c r="I32" s="90"/>
      <c r="J32" s="81"/>
      <c r="K32" s="81"/>
      <c r="P32" s="80"/>
    </row>
    <row r="33" spans="1:16" ht="15" customHeight="1" x14ac:dyDescent="0.2">
      <c r="A33" s="121">
        <v>26</v>
      </c>
      <c r="B33" s="76" t="s">
        <v>146</v>
      </c>
      <c r="C33" s="77" t="s">
        <v>118</v>
      </c>
      <c r="D33" s="77">
        <v>1982</v>
      </c>
      <c r="E33" s="77" t="s">
        <v>119</v>
      </c>
      <c r="F33" s="18">
        <v>2.2013888888888889E-4</v>
      </c>
      <c r="G33" s="18">
        <v>2.4282407407407404E-4</v>
      </c>
      <c r="H33" s="18">
        <v>4.6296296296296293E-4</v>
      </c>
      <c r="I33" s="90"/>
      <c r="J33" s="81"/>
      <c r="K33" s="81"/>
      <c r="P33" s="80"/>
    </row>
    <row r="34" spans="1:16" ht="15" customHeight="1" x14ac:dyDescent="0.2">
      <c r="A34" s="121">
        <v>27</v>
      </c>
      <c r="B34" s="76" t="s">
        <v>147</v>
      </c>
      <c r="C34" s="156" t="s">
        <v>130</v>
      </c>
      <c r="D34" s="77">
        <v>1986</v>
      </c>
      <c r="E34" s="77">
        <v>2</v>
      </c>
      <c r="F34" s="18">
        <v>1.0787037037037038E-4</v>
      </c>
      <c r="G34" s="18" t="s">
        <v>152</v>
      </c>
      <c r="H34" s="18">
        <v>4.1774537037037068E-2</v>
      </c>
      <c r="I34" s="90"/>
      <c r="J34" s="81"/>
      <c r="K34" s="81"/>
      <c r="P34" s="80"/>
    </row>
    <row r="35" spans="1:16" ht="15" customHeight="1" x14ac:dyDescent="0.2">
      <c r="A35" s="121">
        <v>28</v>
      </c>
      <c r="B35" s="76" t="s">
        <v>148</v>
      </c>
      <c r="C35" s="77" t="s">
        <v>118</v>
      </c>
      <c r="D35" s="77">
        <v>1988</v>
      </c>
      <c r="E35" s="77">
        <v>2</v>
      </c>
      <c r="F35" s="18" t="s">
        <v>152</v>
      </c>
      <c r="G35" s="18" t="s">
        <v>152</v>
      </c>
      <c r="H35" s="18" t="s">
        <v>152</v>
      </c>
      <c r="I35" s="90"/>
      <c r="J35" s="81"/>
      <c r="K35" s="81"/>
      <c r="P35" s="80"/>
    </row>
    <row r="36" spans="1:16" ht="15" customHeight="1" x14ac:dyDescent="0.2">
      <c r="A36" s="121">
        <v>28</v>
      </c>
      <c r="B36" s="76" t="s">
        <v>149</v>
      </c>
      <c r="C36" s="77" t="s">
        <v>21</v>
      </c>
      <c r="D36" s="77"/>
      <c r="E36" s="77" t="s">
        <v>124</v>
      </c>
      <c r="F36" s="18" t="s">
        <v>152</v>
      </c>
      <c r="G36" s="119" t="s">
        <v>152</v>
      </c>
      <c r="H36" s="18" t="s">
        <v>152</v>
      </c>
      <c r="I36" s="90"/>
      <c r="J36" s="81"/>
      <c r="K36" s="81"/>
      <c r="P36" s="80"/>
    </row>
    <row r="37" spans="1:16" ht="15" customHeight="1" x14ac:dyDescent="0.2">
      <c r="A37" s="121">
        <v>28</v>
      </c>
      <c r="B37" s="76" t="s">
        <v>150</v>
      </c>
      <c r="C37" s="77" t="s">
        <v>130</v>
      </c>
      <c r="D37" s="77">
        <v>1977</v>
      </c>
      <c r="E37" s="77">
        <v>2</v>
      </c>
      <c r="F37" s="18" t="s">
        <v>152</v>
      </c>
      <c r="G37" s="18" t="s">
        <v>152</v>
      </c>
      <c r="H37" s="18" t="s">
        <v>152</v>
      </c>
      <c r="I37" s="90"/>
      <c r="J37" s="81"/>
      <c r="K37" s="81"/>
      <c r="P37" s="80"/>
    </row>
    <row r="38" spans="1:16" ht="15" customHeight="1" x14ac:dyDescent="0.2">
      <c r="A38" s="121">
        <v>31</v>
      </c>
      <c r="B38" s="76" t="s">
        <v>151</v>
      </c>
      <c r="C38" s="156" t="s">
        <v>21</v>
      </c>
      <c r="D38" s="77">
        <v>1989</v>
      </c>
      <c r="E38" s="77">
        <v>1</v>
      </c>
      <c r="F38" s="18" t="s">
        <v>153</v>
      </c>
      <c r="G38" s="18" t="s">
        <v>153</v>
      </c>
      <c r="H38" s="18" t="s">
        <v>153</v>
      </c>
      <c r="I38" s="90"/>
      <c r="J38" s="81"/>
      <c r="K38" s="81"/>
      <c r="P38" s="80"/>
    </row>
    <row r="39" spans="1:16" x14ac:dyDescent="0.2">
      <c r="C39" s="50"/>
      <c r="J39" s="81"/>
      <c r="K39" s="81"/>
      <c r="P39" s="80"/>
    </row>
    <row r="40" spans="1:16" x14ac:dyDescent="0.2">
      <c r="B40" s="50" t="s">
        <v>16</v>
      </c>
      <c r="C40" s="182" t="str">
        <f>Стартовый!C40</f>
        <v>Калентеенков С. В. (с1к)</v>
      </c>
      <c r="D40" s="182"/>
      <c r="E40" s="182"/>
      <c r="F40" s="60"/>
      <c r="G40" s="62"/>
      <c r="H40" s="63"/>
      <c r="J40" s="81"/>
      <c r="K40" s="81"/>
      <c r="P40" s="80"/>
    </row>
    <row r="41" spans="1:16" x14ac:dyDescent="0.2">
      <c r="B41" s="50" t="s">
        <v>17</v>
      </c>
      <c r="C41" s="182" t="str">
        <f>Стартовый!C41</f>
        <v>Калентеенкова С. Н. (с1к)</v>
      </c>
      <c r="D41" s="182"/>
      <c r="E41" s="182"/>
      <c r="F41" s="62"/>
      <c r="G41" s="60"/>
      <c r="H41" s="63"/>
      <c r="J41" s="81"/>
      <c r="K41" s="81"/>
      <c r="P41" s="80"/>
    </row>
    <row r="42" spans="1:16" x14ac:dyDescent="0.2">
      <c r="P42" s="80"/>
    </row>
    <row r="43" spans="1:16" x14ac:dyDescent="0.2">
      <c r="P43" s="80"/>
    </row>
  </sheetData>
  <sortState ref="B8:H38">
    <sortCondition ref="H7"/>
  </sortState>
  <mergeCells count="13">
    <mergeCell ref="C40:E40"/>
    <mergeCell ref="C41:E41"/>
    <mergeCell ref="A6:B6"/>
    <mergeCell ref="C6:E6"/>
    <mergeCell ref="J7:L7"/>
    <mergeCell ref="L2:O3"/>
    <mergeCell ref="A1:H1"/>
    <mergeCell ref="E2:H2"/>
    <mergeCell ref="A3:H3"/>
    <mergeCell ref="A4:H4"/>
    <mergeCell ref="J2:J5"/>
    <mergeCell ref="K2:K5"/>
    <mergeCell ref="L4:O5"/>
  </mergeCells>
  <phoneticPr fontId="0" type="noConversion"/>
  <conditionalFormatting sqref="F8:H38">
    <cfRule type="expression" dxfId="47" priority="21">
      <formula>IF(J8 &gt;= 16, INT(J8 / 16), 0) = 1</formula>
    </cfRule>
    <cfRule type="expression" dxfId="46" priority="28">
      <formula>IF(J8 &gt;= 16, J8 - 16, J8) =2</formula>
    </cfRule>
    <cfRule type="expression" dxfId="45" priority="29">
      <formula>IF(J8 &gt;= 16, J8 - 16, J8) =1</formula>
    </cfRule>
  </conditionalFormatting>
  <conditionalFormatting sqref="A8:B38">
    <cfRule type="expression" dxfId="44" priority="20">
      <formula>IF($J8 &gt;= 16, $J8 - 16, $J8) =1</formula>
    </cfRule>
  </conditionalFormatting>
  <conditionalFormatting sqref="A9:B38">
    <cfRule type="expression" dxfId="43" priority="15">
      <formula>IF($J8 &gt;= 16, $J8 - 16, $J8) =1</formula>
    </cfRule>
  </conditionalFormatting>
  <conditionalFormatting sqref="H8:H38">
    <cfRule type="expression" dxfId="42" priority="409">
      <formula>G8="срыв"</formula>
    </cfRule>
  </conditionalFormatting>
  <dataValidations count="4">
    <dataValidation type="list" allowBlank="1" showInputMessage="1" showErrorMessage="1" errorTitle="Неправильный разряд" error="Вы ввели неправильный разряд. Можно вводить только те разряды, которые имеются в выпадающем списке. Повторите ввод!" sqref="E8:E38">
      <formula1>"МСМК, МС, КМС, 1, 2, 3, 1 ю, 2 ю, 3 ю, б/р, зб/р,"</formula1>
    </dataValidation>
    <dataValidation type="whole" allowBlank="1" showInputMessage="1" showErrorMessage="1" errorTitle="Неправильный год рождения" error="Вы ввели неправильный год рождения спортсмена. В соревнованиях может участвовать люди от 7 до 90 лет." sqref="D8:D38">
      <formula1>YEAR(TODAY())-90</formula1>
      <formula2>YEAR(TODAY())-7</formula2>
    </dataValidation>
    <dataValidation type="list" allowBlank="1" sqref="H8:H38">
      <formula1>"я неявка"</formula1>
    </dataValidation>
    <dataValidation type="list" allowBlank="1" sqref="F8:G38">
      <formula1>"срыв,я неявка,фальстарт,я  снят"</formula1>
    </dataValidation>
  </dataValidations>
  <printOptions horizontalCentered="1"/>
  <pageMargins left="0.78740157480314998" right="0.78740157480314998" top="0.98425196850393704" bottom="0.98425196850393704" header="0.511811023622047" footer="0.511811023622047"/>
  <pageSetup paperSize="9" scale="80" orientation="portrait" blackAndWhite="1" r:id="rId1"/>
  <headerFooter alignWithMargins="0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R26"/>
  <sheetViews>
    <sheetView showZeros="0" zoomScaleNormal="100" workbookViewId="0">
      <pane xSplit="10" ySplit="6" topLeftCell="K7" activePane="bottomRight" state="frozen"/>
      <selection pane="topRight" activeCell="K1" sqref="K1"/>
      <selection pane="bottomLeft" activeCell="A7" sqref="A7"/>
      <selection pane="bottomRight" activeCell="I20" sqref="I20"/>
    </sheetView>
  </sheetViews>
  <sheetFormatPr defaultRowHeight="12.75" x14ac:dyDescent="0.2"/>
  <cols>
    <col min="1" max="3" width="9" customWidth="1"/>
    <col min="4" max="4" width="23.7109375" customWidth="1"/>
    <col min="5" max="5" width="16.7109375" customWidth="1"/>
    <col min="6" max="6" width="7.7109375" customWidth="1"/>
    <col min="7" max="10" width="10.7109375" customWidth="1"/>
    <col min="11" max="11" width="9.42578125" style="70" customWidth="1"/>
    <col min="12" max="13" width="9.140625" style="85" customWidth="1"/>
    <col min="14" max="17" width="9.140625" style="85"/>
    <col min="18" max="16384" width="9.140625" style="1"/>
  </cols>
  <sheetData>
    <row r="1" spans="1:18" s="92" customFormat="1" ht="36" customHeight="1" x14ac:dyDescent="0.2">
      <c r="A1" s="189" t="str">
        <f>Стартовый!A2</f>
        <v>Спортивный фестиваль "Веселые старты"</v>
      </c>
      <c r="B1" s="189"/>
      <c r="C1" s="189"/>
      <c r="D1" s="189"/>
      <c r="E1" s="189"/>
      <c r="F1" s="189"/>
      <c r="G1" s="189"/>
      <c r="H1" s="189"/>
      <c r="I1" s="189"/>
      <c r="J1" s="189"/>
      <c r="K1" s="103"/>
      <c r="L1" s="116"/>
      <c r="Q1" s="93"/>
    </row>
    <row r="2" spans="1:18" s="93" customFormat="1" ht="15" customHeight="1" x14ac:dyDescent="0.2">
      <c r="A2" s="195" t="s">
        <v>21</v>
      </c>
      <c r="B2" s="195"/>
      <c r="C2" s="94"/>
      <c r="D2" s="94"/>
      <c r="E2" s="94"/>
      <c r="F2" s="94"/>
      <c r="G2" s="193" t="s">
        <v>114</v>
      </c>
      <c r="H2" s="193"/>
      <c r="I2" s="193"/>
      <c r="J2" s="193"/>
      <c r="K2" s="190" t="s">
        <v>48</v>
      </c>
      <c r="L2" s="190"/>
      <c r="M2" s="187" t="s">
        <v>45</v>
      </c>
      <c r="N2" s="187"/>
      <c r="O2" s="187"/>
      <c r="P2" s="187"/>
      <c r="Q2" s="187"/>
      <c r="R2" s="187"/>
    </row>
    <row r="3" spans="1:18" s="92" customFormat="1" ht="17.100000000000001" customHeight="1" x14ac:dyDescent="0.25">
      <c r="A3" s="194" t="s">
        <v>27</v>
      </c>
      <c r="B3" s="194"/>
      <c r="C3" s="194"/>
      <c r="D3" s="194"/>
      <c r="E3" s="194"/>
      <c r="F3" s="194"/>
      <c r="G3" s="194"/>
      <c r="H3" s="194"/>
      <c r="I3" s="194"/>
      <c r="J3" s="194"/>
      <c r="K3" s="190"/>
      <c r="L3" s="190"/>
      <c r="M3" s="187"/>
      <c r="N3" s="187"/>
      <c r="O3" s="187"/>
      <c r="P3" s="187"/>
      <c r="Q3" s="187"/>
      <c r="R3" s="187"/>
    </row>
    <row r="4" spans="1:18" ht="15.95" customHeight="1" x14ac:dyDescent="0.2">
      <c r="A4" s="196" t="s">
        <v>60</v>
      </c>
      <c r="B4" s="196"/>
      <c r="C4" s="196"/>
      <c r="D4" s="196"/>
      <c r="E4" s="196"/>
      <c r="F4" s="196"/>
      <c r="G4" s="196"/>
      <c r="H4" s="196"/>
      <c r="I4" s="196"/>
      <c r="J4" s="196"/>
      <c r="K4" s="190"/>
      <c r="L4" s="190"/>
      <c r="M4" s="188" t="s">
        <v>46</v>
      </c>
      <c r="N4" s="188"/>
      <c r="O4" s="188"/>
      <c r="P4" s="188"/>
      <c r="Q4" s="188"/>
      <c r="R4" s="188"/>
    </row>
    <row r="5" spans="1:18" s="60" customFormat="1" ht="12.75" customHeight="1" x14ac:dyDescent="0.2">
      <c r="A5" s="95"/>
      <c r="B5" s="95"/>
      <c r="C5" s="95"/>
      <c r="D5" s="95"/>
      <c r="E5" s="95"/>
      <c r="F5" s="95"/>
      <c r="G5" s="95"/>
      <c r="H5" s="95"/>
      <c r="I5" s="95"/>
      <c r="J5" s="95"/>
      <c r="K5" s="190"/>
      <c r="L5" s="190"/>
      <c r="M5" s="188"/>
      <c r="N5" s="188"/>
      <c r="O5" s="188"/>
      <c r="P5" s="188"/>
      <c r="Q5" s="188"/>
      <c r="R5" s="188"/>
    </row>
    <row r="6" spans="1:18" hidden="1" x14ac:dyDescent="0.2">
      <c r="A6" s="183" t="s">
        <v>0</v>
      </c>
      <c r="B6" s="183"/>
      <c r="C6" s="183"/>
      <c r="D6" s="183">
        <f>Стартовый!C6</f>
        <v>0</v>
      </c>
      <c r="E6" s="183"/>
      <c r="F6" s="9"/>
      <c r="G6" s="9"/>
      <c r="H6" s="7"/>
      <c r="I6" s="7"/>
      <c r="J6" s="7"/>
    </row>
    <row r="7" spans="1:18" ht="15" customHeight="1" x14ac:dyDescent="0.2">
      <c r="A7" s="73" t="s">
        <v>1</v>
      </c>
      <c r="B7" s="73" t="s">
        <v>15</v>
      </c>
      <c r="C7" s="73" t="s">
        <v>58</v>
      </c>
      <c r="D7" s="73" t="s">
        <v>59</v>
      </c>
      <c r="E7" s="73" t="s">
        <v>2</v>
      </c>
      <c r="F7" s="73" t="s">
        <v>3</v>
      </c>
      <c r="G7" s="73" t="s">
        <v>4</v>
      </c>
      <c r="H7" s="73" t="s">
        <v>22</v>
      </c>
      <c r="I7" s="73" t="s">
        <v>6</v>
      </c>
      <c r="J7" s="73" t="s">
        <v>7</v>
      </c>
      <c r="K7" s="110"/>
      <c r="L7" s="186" t="s">
        <v>67</v>
      </c>
      <c r="M7" s="186"/>
      <c r="N7" s="186"/>
    </row>
    <row r="8" spans="1:18" ht="15" customHeight="1" x14ac:dyDescent="0.2">
      <c r="A8" s="19">
        <v>1</v>
      </c>
      <c r="B8" s="29">
        <v>1</v>
      </c>
      <c r="C8" s="31">
        <v>1</v>
      </c>
      <c r="D8" s="24"/>
      <c r="E8" s="17"/>
      <c r="F8" s="17"/>
      <c r="G8" s="17"/>
      <c r="H8" s="18">
        <v>1.1574074074074073E-4</v>
      </c>
      <c r="I8" s="18">
        <v>9.062499999999998E-5</v>
      </c>
      <c r="J8" s="18">
        <v>2.0636574074074071E-4</v>
      </c>
      <c r="K8" s="107"/>
      <c r="N8" s="86"/>
      <c r="Q8" s="85">
        <v>0</v>
      </c>
    </row>
    <row r="9" spans="1:18" ht="15" customHeight="1" x14ac:dyDescent="0.2">
      <c r="A9" s="19">
        <v>2</v>
      </c>
      <c r="B9" s="30"/>
      <c r="C9" s="19">
        <v>16</v>
      </c>
      <c r="D9" s="24"/>
      <c r="E9" s="17"/>
      <c r="F9" s="17"/>
      <c r="G9" s="17"/>
      <c r="H9" s="18">
        <v>1.1944444444444447E-4</v>
      </c>
      <c r="I9" s="18">
        <v>1.2164351851851853E-4</v>
      </c>
      <c r="J9" s="18">
        <v>2.4108796296296294E-4</v>
      </c>
      <c r="K9" s="111"/>
      <c r="Q9" s="85">
        <v>0</v>
      </c>
    </row>
    <row r="10" spans="1:18" ht="15" customHeight="1" x14ac:dyDescent="0.2">
      <c r="A10" s="19">
        <v>3</v>
      </c>
      <c r="B10" s="29">
        <v>2</v>
      </c>
      <c r="C10" s="31">
        <v>8</v>
      </c>
      <c r="D10" s="24"/>
      <c r="E10" s="17"/>
      <c r="F10" s="17"/>
      <c r="G10" s="17"/>
      <c r="H10" s="18">
        <v>1.087962962962963E-4</v>
      </c>
      <c r="I10" s="18">
        <v>1.145833333333333E-4</v>
      </c>
      <c r="J10" s="18">
        <v>2.2337962962962961E-4</v>
      </c>
      <c r="K10" s="111"/>
      <c r="Q10" s="85">
        <v>0</v>
      </c>
    </row>
    <row r="11" spans="1:18" ht="15" customHeight="1" x14ac:dyDescent="0.2">
      <c r="A11" s="19">
        <v>4</v>
      </c>
      <c r="B11" s="30"/>
      <c r="C11" s="19">
        <v>9</v>
      </c>
      <c r="D11" s="24"/>
      <c r="E11" s="17"/>
      <c r="F11" s="17"/>
      <c r="G11" s="17"/>
      <c r="H11" s="18">
        <v>9.5833333333333309E-5</v>
      </c>
      <c r="I11" s="18">
        <v>1.0532407407407407E-4</v>
      </c>
      <c r="J11" s="18">
        <v>2.0115740740740738E-4</v>
      </c>
      <c r="K11" s="111"/>
      <c r="Q11" s="85">
        <v>0</v>
      </c>
    </row>
    <row r="12" spans="1:18" ht="15" customHeight="1" x14ac:dyDescent="0.2">
      <c r="A12" s="19">
        <v>5</v>
      </c>
      <c r="B12" s="29">
        <v>3</v>
      </c>
      <c r="C12" s="31">
        <v>4</v>
      </c>
      <c r="D12" s="24"/>
      <c r="E12" s="17"/>
      <c r="F12" s="17"/>
      <c r="G12" s="17"/>
      <c r="H12" s="18">
        <v>9.4560185185185169E-5</v>
      </c>
      <c r="I12" s="18">
        <v>1.145833333333333E-4</v>
      </c>
      <c r="J12" s="18">
        <v>1.9421296296296298E-4</v>
      </c>
      <c r="K12" s="111"/>
    </row>
    <row r="13" spans="1:18" ht="15" customHeight="1" x14ac:dyDescent="0.2">
      <c r="A13" s="19">
        <v>6</v>
      </c>
      <c r="B13" s="30"/>
      <c r="C13" s="19">
        <v>13</v>
      </c>
      <c r="D13" s="24"/>
      <c r="E13" s="17"/>
      <c r="F13" s="17"/>
      <c r="G13" s="17"/>
      <c r="H13" s="18">
        <v>1.1446759259259259E-4</v>
      </c>
      <c r="I13" s="18">
        <v>1.2094907407407406E-4</v>
      </c>
      <c r="J13" s="18">
        <v>2.3541666666666668E-4</v>
      </c>
      <c r="K13" s="111"/>
    </row>
    <row r="14" spans="1:18" ht="15" customHeight="1" x14ac:dyDescent="0.2">
      <c r="A14" s="19">
        <v>7</v>
      </c>
      <c r="B14" s="29">
        <v>4</v>
      </c>
      <c r="C14" s="31">
        <v>5</v>
      </c>
      <c r="D14" s="24"/>
      <c r="E14" s="17"/>
      <c r="F14" s="17"/>
      <c r="G14" s="17"/>
      <c r="H14" s="18" t="s">
        <v>152</v>
      </c>
      <c r="I14" s="18" t="s">
        <v>152</v>
      </c>
      <c r="J14" s="18" t="s">
        <v>152</v>
      </c>
      <c r="K14" s="111"/>
    </row>
    <row r="15" spans="1:18" ht="15" customHeight="1" x14ac:dyDescent="0.2">
      <c r="A15" s="19">
        <v>8</v>
      </c>
      <c r="B15" s="30"/>
      <c r="C15" s="19">
        <v>12</v>
      </c>
      <c r="D15" s="24"/>
      <c r="E15" s="17"/>
      <c r="F15" s="17"/>
      <c r="G15" s="17"/>
      <c r="H15" s="18">
        <v>1.2546296296296296E-4</v>
      </c>
      <c r="I15" s="18">
        <v>1.236111111111111E-4</v>
      </c>
      <c r="J15" s="18">
        <v>2.4907407407407403E-4</v>
      </c>
      <c r="K15" s="111"/>
    </row>
    <row r="16" spans="1:18" ht="15" customHeight="1" x14ac:dyDescent="0.2">
      <c r="A16" s="19">
        <v>9</v>
      </c>
      <c r="B16" s="29">
        <v>5</v>
      </c>
      <c r="C16" s="32">
        <v>2</v>
      </c>
      <c r="D16" s="24"/>
      <c r="E16" s="17"/>
      <c r="F16" s="17"/>
      <c r="G16" s="17"/>
      <c r="H16" s="18">
        <v>7.3379629629629633E-5</v>
      </c>
      <c r="I16" s="18" t="s">
        <v>152</v>
      </c>
      <c r="J16" s="18">
        <v>4.1740046296296331E-2</v>
      </c>
      <c r="K16" s="111"/>
      <c r="Q16" s="85">
        <v>0</v>
      </c>
    </row>
    <row r="17" spans="1:17" ht="15" customHeight="1" x14ac:dyDescent="0.2">
      <c r="A17" s="19">
        <v>10</v>
      </c>
      <c r="B17" s="30"/>
      <c r="C17" s="20">
        <v>15</v>
      </c>
      <c r="D17" s="24"/>
      <c r="E17" s="17"/>
      <c r="F17" s="17"/>
      <c r="G17" s="17"/>
      <c r="H17" s="18">
        <v>1.4351851851851852E-4</v>
      </c>
      <c r="I17" s="18">
        <v>1.2430555555555554E-4</v>
      </c>
      <c r="J17" s="18">
        <v>2.6782407407407408E-4</v>
      </c>
      <c r="K17" s="111"/>
      <c r="Q17" s="85">
        <v>0</v>
      </c>
    </row>
    <row r="18" spans="1:17" ht="15" customHeight="1" x14ac:dyDescent="0.2">
      <c r="A18" s="19">
        <v>11</v>
      </c>
      <c r="B18" s="29">
        <v>6</v>
      </c>
      <c r="C18" s="31">
        <v>7</v>
      </c>
      <c r="D18" s="24"/>
      <c r="E18" s="17"/>
      <c r="F18" s="17"/>
      <c r="G18" s="17"/>
      <c r="H18" s="18">
        <v>9.3865740740740728E-5</v>
      </c>
      <c r="I18" s="18">
        <v>1.3993055555555558E-4</v>
      </c>
      <c r="J18" s="18">
        <v>2.3379629629629629E-4</v>
      </c>
      <c r="K18" s="112"/>
      <c r="Q18" s="85">
        <v>0</v>
      </c>
    </row>
    <row r="19" spans="1:17" ht="15" customHeight="1" x14ac:dyDescent="0.2">
      <c r="A19" s="19">
        <v>12</v>
      </c>
      <c r="B19" s="30"/>
      <c r="C19" s="19">
        <v>10</v>
      </c>
      <c r="D19" s="24"/>
      <c r="E19" s="17"/>
      <c r="F19" s="17"/>
      <c r="G19" s="17"/>
      <c r="H19" s="18">
        <v>1.430555555555555E-4</v>
      </c>
      <c r="I19" s="18">
        <v>1.0231481481481483E-4</v>
      </c>
      <c r="J19" s="18">
        <v>2.4537037037037035E-4</v>
      </c>
      <c r="K19" s="112"/>
      <c r="Q19" s="85">
        <v>0</v>
      </c>
    </row>
    <row r="20" spans="1:17" ht="15" customHeight="1" x14ac:dyDescent="0.2">
      <c r="A20" s="19">
        <v>13</v>
      </c>
      <c r="B20" s="29">
        <v>7</v>
      </c>
      <c r="C20" s="31">
        <v>3</v>
      </c>
      <c r="D20" s="24"/>
      <c r="E20" s="17"/>
      <c r="F20" s="17"/>
      <c r="G20" s="17"/>
      <c r="H20" s="18">
        <v>7.8819444444444442E-5</v>
      </c>
      <c r="I20" s="18">
        <v>1.145833333333333E-4</v>
      </c>
      <c r="J20" s="18">
        <v>1.5601851851851852E-4</v>
      </c>
      <c r="K20" s="112"/>
      <c r="Q20" s="85">
        <v>0</v>
      </c>
    </row>
    <row r="21" spans="1:17" ht="15" customHeight="1" x14ac:dyDescent="0.2">
      <c r="A21" s="19">
        <v>14</v>
      </c>
      <c r="B21" s="30"/>
      <c r="C21" s="19">
        <v>14</v>
      </c>
      <c r="D21" s="24"/>
      <c r="E21" s="17"/>
      <c r="F21" s="17"/>
      <c r="G21" s="17"/>
      <c r="H21" s="18">
        <v>1.1064814814814817E-4</v>
      </c>
      <c r="I21" s="18">
        <v>9.768518518518519E-5</v>
      </c>
      <c r="J21" s="18">
        <v>2.0833333333333335E-4</v>
      </c>
      <c r="K21" s="112"/>
      <c r="Q21" s="85">
        <v>0</v>
      </c>
    </row>
    <row r="22" spans="1:17" ht="15" customHeight="1" x14ac:dyDescent="0.2">
      <c r="A22" s="19">
        <v>15</v>
      </c>
      <c r="B22" s="29">
        <v>8</v>
      </c>
      <c r="C22" s="31">
        <v>6</v>
      </c>
      <c r="D22" s="24"/>
      <c r="E22" s="17"/>
      <c r="F22" s="17"/>
      <c r="G22" s="17"/>
      <c r="H22" s="18">
        <v>1.0092592592592593E-4</v>
      </c>
      <c r="I22" s="18">
        <v>1.145833333333333E-4</v>
      </c>
      <c r="J22" s="18">
        <v>2.0358796296296295E-4</v>
      </c>
      <c r="K22" s="112"/>
      <c r="Q22" s="85">
        <v>0</v>
      </c>
    </row>
    <row r="23" spans="1:17" ht="15" customHeight="1" x14ac:dyDescent="0.2">
      <c r="A23" s="19">
        <v>16</v>
      </c>
      <c r="B23" s="30"/>
      <c r="C23" s="19">
        <v>11</v>
      </c>
      <c r="D23" s="24"/>
      <c r="E23" s="17"/>
      <c r="F23" s="17"/>
      <c r="G23" s="17"/>
      <c r="H23" s="18"/>
      <c r="I23" s="18"/>
      <c r="J23" s="18"/>
      <c r="K23" s="112"/>
      <c r="Q23" s="85">
        <v>0</v>
      </c>
    </row>
    <row r="25" spans="1:17" s="69" customFormat="1" x14ac:dyDescent="0.2">
      <c r="A25" s="3"/>
      <c r="B25" s="191" t="s">
        <v>16</v>
      </c>
      <c r="C25" s="192"/>
      <c r="D25" s="57" t="str">
        <f>Квалификация!$C$40</f>
        <v>Калентеенков С. В. (с1к)</v>
      </c>
      <c r="E25" s="3"/>
      <c r="F25" s="51"/>
      <c r="G25" s="51"/>
      <c r="H25" s="3"/>
      <c r="I25" s="3"/>
      <c r="J25" s="3"/>
      <c r="K25" s="70"/>
      <c r="L25" s="85"/>
      <c r="M25" s="85"/>
      <c r="N25" s="85"/>
      <c r="O25" s="85"/>
      <c r="P25" s="85"/>
      <c r="Q25" s="85"/>
    </row>
    <row r="26" spans="1:17" s="69" customFormat="1" x14ac:dyDescent="0.2">
      <c r="A26" s="3"/>
      <c r="B26" s="192" t="s">
        <v>29</v>
      </c>
      <c r="C26" s="192"/>
      <c r="D26" s="57" t="str">
        <f>Квалификация!$C$41</f>
        <v>Калентеенкова С. Н. (с1к)</v>
      </c>
      <c r="E26" s="3"/>
      <c r="F26" s="51"/>
      <c r="G26" s="51"/>
      <c r="H26" s="3"/>
      <c r="I26" s="3"/>
      <c r="J26" s="3"/>
      <c r="K26" s="70"/>
      <c r="L26" s="85"/>
      <c r="M26" s="85"/>
      <c r="N26" s="85"/>
      <c r="O26" s="85"/>
      <c r="P26" s="85"/>
      <c r="Q26" s="85"/>
    </row>
  </sheetData>
  <dataConsolidate/>
  <mergeCells count="13">
    <mergeCell ref="B25:C25"/>
    <mergeCell ref="B26:C26"/>
    <mergeCell ref="A6:C6"/>
    <mergeCell ref="G2:J2"/>
    <mergeCell ref="A3:J3"/>
    <mergeCell ref="A2:B2"/>
    <mergeCell ref="A4:J4"/>
    <mergeCell ref="L7:N7"/>
    <mergeCell ref="M2:R3"/>
    <mergeCell ref="M4:R5"/>
    <mergeCell ref="D6:E6"/>
    <mergeCell ref="A1:J1"/>
    <mergeCell ref="K2:L5"/>
  </mergeCells>
  <phoneticPr fontId="5" type="noConversion"/>
  <conditionalFormatting sqref="C8:J8 A8 C10:J10 A10 C12:J12 A12 C14:J14 A14 C16:J16 A16 C18:J18 A18 C20:J20 A20 C22:J22 A22">
    <cfRule type="expression" dxfId="30" priority="14" stopIfTrue="1">
      <formula>AND($J8&lt;$J9,$J8&lt;&gt;"",$J9&lt;&gt;"")</formula>
    </cfRule>
  </conditionalFormatting>
  <conditionalFormatting sqref="C9:J9 A9 C11:J11 A11 C13:J13 A13 C15:J15 A15 C17:J17 A17 C19:J19 A19 C21:J21 A21 C23:J23 A23">
    <cfRule type="expression" dxfId="29" priority="15" stopIfTrue="1">
      <formula>AND($J9&lt;$J8,$J8&lt;&gt;"",$J9&lt;&gt;"")</formula>
    </cfRule>
  </conditionalFormatting>
  <conditionalFormatting sqref="J8 J10 J12 J14 J16 J18 J20 J22">
    <cfRule type="expression" dxfId="28" priority="2">
      <formula>I8="срыв"</formula>
    </cfRule>
  </conditionalFormatting>
  <conditionalFormatting sqref="J9 J11 J13 J15 J17 J19 J21 J23">
    <cfRule type="expression" dxfId="27" priority="1">
      <formula>H9="срыв"</formula>
    </cfRule>
  </conditionalFormatting>
  <conditionalFormatting sqref="H8:J23">
    <cfRule type="expression" dxfId="26" priority="3">
      <formula>IF(L8 &gt;= 16, INT(L8 / 16), 0) = 1</formula>
    </cfRule>
    <cfRule type="expression" dxfId="25" priority="4" stopIfTrue="1">
      <formula>IF(L8 &gt;= 16, L8 - 16, L8) =2</formula>
    </cfRule>
    <cfRule type="expression" dxfId="24" priority="5" stopIfTrue="1">
      <formula>IF(L8 &gt;= 16, L8 - 16, L8) =1</formula>
    </cfRule>
  </conditionalFormatting>
  <dataValidations count="2">
    <dataValidation type="list" allowBlank="1" sqref="J8:J23">
      <formula1>"я неявка"</formula1>
    </dataValidation>
    <dataValidation type="list" allowBlank="1" sqref="H8:I23">
      <formula1>"срыв,я неявка,фальстарт,я  снят"</formula1>
    </dataValidation>
  </dataValidations>
  <pageMargins left="0.87" right="0.75" top="1" bottom="1" header="0.5" footer="0.5"/>
  <pageSetup paperSize="9" scale="80" orientation="portrait" blackAndWhite="1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R18"/>
  <sheetViews>
    <sheetView showZeros="0" zoomScaleNormal="100" workbookViewId="0">
      <pane xSplit="10" ySplit="7" topLeftCell="K8" activePane="bottomRight" state="frozen"/>
      <selection pane="topRight" activeCell="K1" sqref="K1"/>
      <selection pane="bottomLeft" activeCell="A8" sqref="A8"/>
      <selection pane="bottomRight" activeCell="H8" sqref="H8:J15"/>
    </sheetView>
  </sheetViews>
  <sheetFormatPr defaultRowHeight="12.75" x14ac:dyDescent="0.2"/>
  <cols>
    <col min="1" max="3" width="9" customWidth="1"/>
    <col min="4" max="4" width="23.7109375" customWidth="1"/>
    <col min="5" max="5" width="16.7109375" customWidth="1"/>
    <col min="6" max="6" width="7.7109375" customWidth="1"/>
    <col min="7" max="10" width="10.7109375" customWidth="1"/>
    <col min="11" max="11" width="10.5703125" customWidth="1"/>
    <col min="12" max="17" width="9.140625" style="80"/>
  </cols>
  <sheetData>
    <row r="1" spans="1:18" ht="38.1" customHeight="1" x14ac:dyDescent="0.2">
      <c r="A1" s="189" t="str">
        <f>Квалификация!$A$1</f>
        <v>Спортивный фестиваль "Веселые старты"</v>
      </c>
      <c r="B1" s="189"/>
      <c r="C1" s="189"/>
      <c r="D1" s="189"/>
      <c r="E1" s="189"/>
      <c r="F1" s="189"/>
      <c r="G1" s="189"/>
      <c r="H1" s="189"/>
      <c r="I1" s="189"/>
      <c r="J1" s="189"/>
      <c r="K1" s="104"/>
    </row>
    <row r="2" spans="1:18" ht="15" customHeight="1" x14ac:dyDescent="0.2">
      <c r="A2" s="195" t="s">
        <v>21</v>
      </c>
      <c r="B2" s="195"/>
      <c r="C2" s="48"/>
      <c r="D2" s="49"/>
      <c r="E2" s="49"/>
      <c r="F2" s="49"/>
      <c r="G2" s="163" t="s">
        <v>114</v>
      </c>
      <c r="H2" s="163"/>
      <c r="I2" s="163"/>
      <c r="J2" s="163"/>
      <c r="K2" s="190" t="s">
        <v>48</v>
      </c>
      <c r="L2" s="190"/>
      <c r="M2" s="187" t="s">
        <v>45</v>
      </c>
      <c r="N2" s="187"/>
      <c r="O2" s="187"/>
      <c r="P2" s="187"/>
      <c r="Q2" s="187"/>
      <c r="R2" s="187"/>
    </row>
    <row r="3" spans="1:18" ht="17.100000000000001" customHeight="1" x14ac:dyDescent="0.25">
      <c r="A3" s="194" t="s">
        <v>27</v>
      </c>
      <c r="B3" s="194"/>
      <c r="C3" s="194"/>
      <c r="D3" s="194"/>
      <c r="E3" s="194"/>
      <c r="F3" s="194"/>
      <c r="G3" s="194"/>
      <c r="H3" s="194"/>
      <c r="I3" s="194"/>
      <c r="J3" s="194"/>
      <c r="K3" s="190"/>
      <c r="L3" s="190"/>
      <c r="M3" s="187"/>
      <c r="N3" s="187"/>
      <c r="O3" s="187"/>
      <c r="P3" s="187"/>
      <c r="Q3" s="187"/>
      <c r="R3" s="187"/>
    </row>
    <row r="4" spans="1:18" ht="15.95" customHeight="1" x14ac:dyDescent="0.2">
      <c r="A4" s="196" t="s">
        <v>52</v>
      </c>
      <c r="B4" s="196"/>
      <c r="C4" s="196"/>
      <c r="D4" s="196"/>
      <c r="E4" s="196"/>
      <c r="F4" s="196"/>
      <c r="G4" s="196"/>
      <c r="H4" s="196"/>
      <c r="I4" s="196"/>
      <c r="J4" s="196"/>
      <c r="K4" s="190"/>
      <c r="L4" s="190"/>
      <c r="M4" s="188" t="s">
        <v>46</v>
      </c>
      <c r="N4" s="188"/>
      <c r="O4" s="188"/>
      <c r="P4" s="188"/>
      <c r="Q4" s="188"/>
      <c r="R4" s="188"/>
    </row>
    <row r="5" spans="1:18" x14ac:dyDescent="0.2">
      <c r="A5" s="59"/>
      <c r="B5" s="59"/>
      <c r="C5" s="59"/>
      <c r="D5" s="59"/>
      <c r="E5" s="59"/>
      <c r="F5" s="59"/>
      <c r="G5" s="59"/>
      <c r="H5" s="59"/>
      <c r="I5" s="59"/>
      <c r="J5" s="59"/>
      <c r="K5" s="190"/>
      <c r="L5" s="190"/>
      <c r="M5" s="188"/>
      <c r="N5" s="188"/>
      <c r="O5" s="188"/>
      <c r="P5" s="188"/>
      <c r="Q5" s="188"/>
      <c r="R5" s="188"/>
    </row>
    <row r="6" spans="1:18" hidden="1" x14ac:dyDescent="0.2">
      <c r="A6" s="183" t="s">
        <v>0</v>
      </c>
      <c r="B6" s="183"/>
      <c r="C6" s="183"/>
      <c r="D6" s="183">
        <f>Стартовый!C6</f>
        <v>0</v>
      </c>
      <c r="E6" s="183"/>
      <c r="F6" s="9"/>
      <c r="G6" s="7"/>
      <c r="H6" s="7"/>
      <c r="I6" s="7"/>
      <c r="J6" s="7"/>
    </row>
    <row r="7" spans="1:18" ht="15" customHeight="1" x14ac:dyDescent="0.2">
      <c r="A7" s="73" t="s">
        <v>1</v>
      </c>
      <c r="B7" s="73" t="s">
        <v>15</v>
      </c>
      <c r="C7" s="73" t="s">
        <v>58</v>
      </c>
      <c r="D7" s="73" t="s">
        <v>59</v>
      </c>
      <c r="E7" s="73" t="s">
        <v>2</v>
      </c>
      <c r="F7" s="73" t="s">
        <v>3</v>
      </c>
      <c r="G7" s="73" t="s">
        <v>4</v>
      </c>
      <c r="H7" s="73" t="s">
        <v>22</v>
      </c>
      <c r="I7" s="73" t="s">
        <v>10</v>
      </c>
      <c r="J7" s="73" t="s">
        <v>7</v>
      </c>
      <c r="K7" s="75"/>
      <c r="L7" s="186" t="s">
        <v>67</v>
      </c>
      <c r="M7" s="186"/>
      <c r="N7" s="186"/>
    </row>
    <row r="8" spans="1:18" ht="15" customHeight="1" x14ac:dyDescent="0.2">
      <c r="A8" s="19">
        <v>1</v>
      </c>
      <c r="B8" s="29">
        <v>1</v>
      </c>
      <c r="C8" s="31">
        <v>1</v>
      </c>
      <c r="D8" s="16"/>
      <c r="E8" s="17"/>
      <c r="F8" s="17"/>
      <c r="G8" s="17"/>
      <c r="H8" s="18">
        <v>6.678240740740741E-5</v>
      </c>
      <c r="I8" s="18">
        <v>7.7662037037037028E-5</v>
      </c>
      <c r="J8" s="18">
        <v>1.4444444444444446E-4</v>
      </c>
      <c r="K8" s="109"/>
      <c r="O8" s="80">
        <v>0</v>
      </c>
      <c r="P8" s="80">
        <v>0</v>
      </c>
      <c r="Q8" s="80">
        <v>0</v>
      </c>
    </row>
    <row r="9" spans="1:18" ht="15" customHeight="1" x14ac:dyDescent="0.2">
      <c r="A9" s="19">
        <v>2</v>
      </c>
      <c r="B9" s="30"/>
      <c r="C9" s="19">
        <v>8</v>
      </c>
      <c r="D9" s="16"/>
      <c r="E9" s="17"/>
      <c r="F9" s="17"/>
      <c r="G9" s="17"/>
      <c r="H9" s="18">
        <v>8.229166666666667E-5</v>
      </c>
      <c r="I9" s="18">
        <v>9.4212962962962976E-5</v>
      </c>
      <c r="J9" s="18">
        <v>1.7650462962962962E-4</v>
      </c>
      <c r="K9" s="109"/>
      <c r="O9" s="80">
        <v>0</v>
      </c>
      <c r="P9" s="80">
        <v>0</v>
      </c>
      <c r="Q9" s="80">
        <v>0</v>
      </c>
    </row>
    <row r="10" spans="1:18" ht="15" customHeight="1" x14ac:dyDescent="0.2">
      <c r="A10" s="19">
        <v>3</v>
      </c>
      <c r="B10" s="29">
        <v>2</v>
      </c>
      <c r="C10" s="31">
        <v>4</v>
      </c>
      <c r="D10" s="16"/>
      <c r="E10" s="17"/>
      <c r="F10" s="17"/>
      <c r="G10" s="17"/>
      <c r="H10" s="18">
        <v>8.8194444444444453E-5</v>
      </c>
      <c r="I10" s="18">
        <v>1.111111111111111E-4</v>
      </c>
      <c r="J10" s="18">
        <v>1.9930555555555554E-4</v>
      </c>
      <c r="K10" s="109"/>
      <c r="P10" s="80">
        <v>0</v>
      </c>
      <c r="Q10" s="80">
        <v>0</v>
      </c>
    </row>
    <row r="11" spans="1:18" ht="15" customHeight="1" x14ac:dyDescent="0.2">
      <c r="A11" s="19">
        <v>4</v>
      </c>
      <c r="B11" s="30"/>
      <c r="C11" s="19">
        <v>5</v>
      </c>
      <c r="D11" s="16"/>
      <c r="E11" s="17"/>
      <c r="F11" s="17"/>
      <c r="G11" s="17"/>
      <c r="H11" s="18">
        <v>9.675925925925927E-5</v>
      </c>
      <c r="I11" s="18">
        <v>1.1412037037037037E-4</v>
      </c>
      <c r="J11" s="18">
        <v>2.1087962962962963E-4</v>
      </c>
      <c r="K11" s="109"/>
      <c r="P11" s="80">
        <v>0</v>
      </c>
      <c r="Q11" s="80">
        <v>0</v>
      </c>
    </row>
    <row r="12" spans="1:18" ht="15" customHeight="1" x14ac:dyDescent="0.2">
      <c r="A12" s="19">
        <v>5</v>
      </c>
      <c r="B12" s="29">
        <v>3</v>
      </c>
      <c r="C12" s="31">
        <v>2</v>
      </c>
      <c r="D12" s="16"/>
      <c r="E12" s="17"/>
      <c r="F12" s="17"/>
      <c r="G12" s="17"/>
      <c r="H12" s="18">
        <v>6.701388888888889E-5</v>
      </c>
      <c r="I12" s="18">
        <v>7.3148148148148153E-5</v>
      </c>
      <c r="J12" s="18">
        <v>1.4016203703703703E-4</v>
      </c>
      <c r="K12" s="109"/>
    </row>
    <row r="13" spans="1:18" ht="15" customHeight="1" x14ac:dyDescent="0.2">
      <c r="A13" s="19">
        <v>6</v>
      </c>
      <c r="B13" s="30"/>
      <c r="C13" s="19">
        <v>7</v>
      </c>
      <c r="D13" s="16"/>
      <c r="E13" s="17"/>
      <c r="F13" s="17"/>
      <c r="G13" s="17"/>
      <c r="H13" s="18">
        <v>6.712962962962963E-5</v>
      </c>
      <c r="I13" s="18">
        <v>7.9745370370370362E-5</v>
      </c>
      <c r="J13" s="18">
        <v>1.4687500000000001E-4</v>
      </c>
      <c r="K13" s="109"/>
    </row>
    <row r="14" spans="1:18" ht="15" customHeight="1" x14ac:dyDescent="0.2">
      <c r="A14" s="19">
        <v>7</v>
      </c>
      <c r="B14" s="29">
        <v>4</v>
      </c>
      <c r="C14" s="31">
        <v>3</v>
      </c>
      <c r="D14" s="16"/>
      <c r="E14" s="17"/>
      <c r="F14" s="17"/>
      <c r="G14" s="17"/>
      <c r="H14" s="18">
        <v>7.5231481481481487E-5</v>
      </c>
      <c r="I14" s="18">
        <v>1.0092592592592593E-4</v>
      </c>
      <c r="J14" s="18">
        <v>1.761574074074074E-4</v>
      </c>
      <c r="K14" s="109"/>
    </row>
    <row r="15" spans="1:18" ht="15" customHeight="1" x14ac:dyDescent="0.2">
      <c r="A15" s="19">
        <v>8</v>
      </c>
      <c r="B15" s="30"/>
      <c r="C15" s="19">
        <v>6</v>
      </c>
      <c r="D15" s="16"/>
      <c r="E15" s="17"/>
      <c r="F15" s="17"/>
      <c r="G15" s="17"/>
      <c r="H15" s="18"/>
      <c r="I15" s="18"/>
      <c r="J15" s="18"/>
      <c r="K15" s="109"/>
    </row>
    <row r="16" spans="1:18" ht="12.75" customHeight="1" x14ac:dyDescent="0.2"/>
    <row r="17" spans="2:4" x14ac:dyDescent="0.2">
      <c r="B17" s="197" t="s">
        <v>16</v>
      </c>
      <c r="C17" s="197"/>
      <c r="D17" s="5" t="str">
        <f>Квалификация!$C$40</f>
        <v>Калентеенков С. В. (с1к)</v>
      </c>
    </row>
    <row r="18" spans="2:4" x14ac:dyDescent="0.2">
      <c r="B18" s="197" t="s">
        <v>17</v>
      </c>
      <c r="C18" s="197"/>
      <c r="D18" s="5" t="str">
        <f>Квалификация!$C$41</f>
        <v>Калентеенкова С. Н. (с1к)</v>
      </c>
    </row>
  </sheetData>
  <mergeCells count="13">
    <mergeCell ref="K2:L5"/>
    <mergeCell ref="M2:R3"/>
    <mergeCell ref="M4:R5"/>
    <mergeCell ref="A4:J4"/>
    <mergeCell ref="B18:C18"/>
    <mergeCell ref="B17:C17"/>
    <mergeCell ref="L7:N7"/>
    <mergeCell ref="A1:J1"/>
    <mergeCell ref="D6:E6"/>
    <mergeCell ref="A6:C6"/>
    <mergeCell ref="A2:B2"/>
    <mergeCell ref="G2:J2"/>
    <mergeCell ref="A3:J3"/>
  </mergeCells>
  <phoneticPr fontId="0" type="noConversion"/>
  <conditionalFormatting sqref="C8:J8 A8 C10:J10 A10 C12:J12 A12 C14:J14 A14">
    <cfRule type="expression" dxfId="23" priority="9" stopIfTrue="1">
      <formula>AND($J8&lt;$J9,$J8&lt;&gt;"",$J9&lt;&gt;"")</formula>
    </cfRule>
  </conditionalFormatting>
  <conditionalFormatting sqref="C9:J9 A9 C11:J11 A11 C13:J13 A13 C15:J15 A15">
    <cfRule type="expression" dxfId="22" priority="10" stopIfTrue="1">
      <formula>AND($J9&lt;$J8,$J8&lt;&gt;"",$J9&lt;&gt;"")</formula>
    </cfRule>
  </conditionalFormatting>
  <conditionalFormatting sqref="J8 J10 J12 J14">
    <cfRule type="expression" dxfId="21" priority="2">
      <formula>I8="срыв"</formula>
    </cfRule>
  </conditionalFormatting>
  <conditionalFormatting sqref="J9 J11 J13 J15">
    <cfRule type="expression" dxfId="20" priority="1">
      <formula>H9="срыв"</formula>
    </cfRule>
  </conditionalFormatting>
  <conditionalFormatting sqref="H8:J15">
    <cfRule type="expression" dxfId="19" priority="3">
      <formula>IF(L8 &gt;= 16, INT(L8 / 16), 0) = 1</formula>
    </cfRule>
    <cfRule type="expression" dxfId="18" priority="4" stopIfTrue="1">
      <formula>IF(L8 &gt;= 16, L8 - 16, L8) =2</formula>
    </cfRule>
    <cfRule type="expression" dxfId="17" priority="5" stopIfTrue="1">
      <formula>IF(L8 &gt;= 16, L8 - 16, L8) =1</formula>
    </cfRule>
  </conditionalFormatting>
  <dataValidations count="2">
    <dataValidation type="list" allowBlank="1" sqref="J8:J15">
      <formula1>"я неявка"</formula1>
    </dataValidation>
    <dataValidation type="list" allowBlank="1" sqref="H8:I15">
      <formula1>"срыв,я неявка,фальстарт,я  снят"</formula1>
    </dataValidation>
  </dataValidations>
  <pageMargins left="0.75" right="0.75" top="1" bottom="1" header="0.5" footer="0.5"/>
  <pageSetup paperSize="9" scale="80" orientation="portrait" blackAndWhite="1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R14"/>
  <sheetViews>
    <sheetView showZeros="0" zoomScaleNormal="100" workbookViewId="0">
      <pane xSplit="10" ySplit="7" topLeftCell="K8" activePane="bottomRight" state="frozen"/>
      <selection pane="topRight" activeCell="K1" sqref="K1"/>
      <selection pane="bottomLeft" activeCell="A8" sqref="A8"/>
      <selection pane="bottomRight" activeCell="H8" sqref="H8:J11"/>
    </sheetView>
  </sheetViews>
  <sheetFormatPr defaultRowHeight="12.75" x14ac:dyDescent="0.2"/>
  <cols>
    <col min="1" max="3" width="9" customWidth="1"/>
    <col min="4" max="4" width="23.7109375" customWidth="1"/>
    <col min="5" max="5" width="16.7109375" customWidth="1"/>
    <col min="6" max="6" width="7.7109375" customWidth="1"/>
    <col min="7" max="10" width="10.7109375" customWidth="1"/>
    <col min="11" max="11" width="9.5703125" customWidth="1"/>
    <col min="12" max="17" width="9.140625" style="87"/>
  </cols>
  <sheetData>
    <row r="1" spans="1:18" ht="38.1" customHeight="1" x14ac:dyDescent="0.2">
      <c r="A1" s="198" t="str">
        <f>Квалификация!$A$1</f>
        <v>Спортивный фестиваль "Веселые старты"</v>
      </c>
      <c r="B1" s="198"/>
      <c r="C1" s="198"/>
      <c r="D1" s="198"/>
      <c r="E1" s="198"/>
      <c r="F1" s="198"/>
      <c r="G1" s="198"/>
      <c r="H1" s="198"/>
      <c r="I1" s="198"/>
      <c r="J1" s="198"/>
      <c r="K1" s="104"/>
      <c r="L1" s="104"/>
      <c r="M1" s="104"/>
      <c r="N1" s="104"/>
      <c r="O1" s="104"/>
      <c r="P1" s="104"/>
      <c r="Q1" s="104"/>
      <c r="R1" s="104"/>
    </row>
    <row r="2" spans="1:18" ht="15" customHeight="1" x14ac:dyDescent="0.2">
      <c r="A2" s="195" t="s">
        <v>21</v>
      </c>
      <c r="B2" s="195"/>
      <c r="C2" s="48"/>
      <c r="D2" s="49"/>
      <c r="E2" s="49"/>
      <c r="F2" s="49"/>
      <c r="G2" s="163" t="s">
        <v>114</v>
      </c>
      <c r="H2" s="163"/>
      <c r="I2" s="163"/>
      <c r="J2" s="163"/>
      <c r="K2" s="190" t="s">
        <v>48</v>
      </c>
      <c r="L2" s="190"/>
      <c r="M2" s="187" t="s">
        <v>45</v>
      </c>
      <c r="N2" s="187"/>
      <c r="O2" s="187"/>
      <c r="P2" s="187"/>
      <c r="Q2" s="187"/>
      <c r="R2" s="187"/>
    </row>
    <row r="3" spans="1:18" ht="17.100000000000001" customHeight="1" x14ac:dyDescent="0.25">
      <c r="A3" s="194" t="s">
        <v>27</v>
      </c>
      <c r="B3" s="194"/>
      <c r="C3" s="194"/>
      <c r="D3" s="194"/>
      <c r="E3" s="194"/>
      <c r="F3" s="194"/>
      <c r="G3" s="194"/>
      <c r="H3" s="194"/>
      <c r="I3" s="194"/>
      <c r="J3" s="194"/>
      <c r="K3" s="190"/>
      <c r="L3" s="190"/>
      <c r="M3" s="187"/>
      <c r="N3" s="187"/>
      <c r="O3" s="187"/>
      <c r="P3" s="187"/>
      <c r="Q3" s="187"/>
      <c r="R3" s="187"/>
    </row>
    <row r="4" spans="1:18" ht="15.95" customHeight="1" x14ac:dyDescent="0.2">
      <c r="A4" s="196" t="s">
        <v>53</v>
      </c>
      <c r="B4" s="196"/>
      <c r="C4" s="196"/>
      <c r="D4" s="196"/>
      <c r="E4" s="196"/>
      <c r="F4" s="196"/>
      <c r="G4" s="196"/>
      <c r="H4" s="196"/>
      <c r="I4" s="196"/>
      <c r="J4" s="196"/>
      <c r="K4" s="190"/>
      <c r="L4" s="190"/>
      <c r="M4" s="188" t="s">
        <v>46</v>
      </c>
      <c r="N4" s="188"/>
      <c r="O4" s="188"/>
      <c r="P4" s="188"/>
      <c r="Q4" s="188"/>
      <c r="R4" s="188"/>
    </row>
    <row r="5" spans="1:18" ht="12.75" customHeight="1" x14ac:dyDescent="0.2">
      <c r="A5" s="59"/>
      <c r="B5" s="59"/>
      <c r="C5" s="59"/>
      <c r="D5" s="59"/>
      <c r="E5" s="59"/>
      <c r="F5" s="59"/>
      <c r="G5" s="59"/>
      <c r="H5" s="59"/>
      <c r="I5" s="59"/>
      <c r="J5" s="59"/>
      <c r="K5" s="190"/>
      <c r="L5" s="190"/>
      <c r="M5" s="188"/>
      <c r="N5" s="188"/>
      <c r="O5" s="188"/>
      <c r="P5" s="188"/>
      <c r="Q5" s="188"/>
      <c r="R5" s="188"/>
    </row>
    <row r="6" spans="1:18" hidden="1" x14ac:dyDescent="0.2">
      <c r="A6" s="161" t="s">
        <v>0</v>
      </c>
      <c r="B6" s="161"/>
      <c r="C6" s="161"/>
      <c r="D6" s="161">
        <f>Стартовый!C6</f>
        <v>0</v>
      </c>
      <c r="E6" s="161"/>
      <c r="F6" s="9"/>
      <c r="G6" s="7"/>
      <c r="H6" s="7"/>
      <c r="I6" s="7"/>
      <c r="J6" s="7"/>
      <c r="Q6"/>
    </row>
    <row r="7" spans="1:18" ht="15" customHeight="1" x14ac:dyDescent="0.2">
      <c r="A7" s="73" t="s">
        <v>1</v>
      </c>
      <c r="B7" s="73" t="s">
        <v>15</v>
      </c>
      <c r="C7" s="73" t="s">
        <v>58</v>
      </c>
      <c r="D7" s="73" t="s">
        <v>59</v>
      </c>
      <c r="E7" s="73" t="s">
        <v>2</v>
      </c>
      <c r="F7" s="73" t="s">
        <v>3</v>
      </c>
      <c r="G7" s="73" t="s">
        <v>4</v>
      </c>
      <c r="H7" s="73" t="s">
        <v>22</v>
      </c>
      <c r="I7" s="73" t="s">
        <v>6</v>
      </c>
      <c r="J7" s="73" t="s">
        <v>7</v>
      </c>
      <c r="K7" s="75"/>
      <c r="L7" s="186" t="s">
        <v>67</v>
      </c>
      <c r="M7" s="186"/>
      <c r="N7" s="186"/>
      <c r="Q7"/>
    </row>
    <row r="8" spans="1:18" ht="15" customHeight="1" x14ac:dyDescent="0.2">
      <c r="A8" s="19">
        <v>1</v>
      </c>
      <c r="B8" s="199">
        <v>1</v>
      </c>
      <c r="C8" s="31">
        <v>1</v>
      </c>
      <c r="D8" s="24"/>
      <c r="E8" s="17"/>
      <c r="F8" s="17"/>
      <c r="G8" s="17"/>
      <c r="H8" s="18">
        <v>6.8518518518518524E-5</v>
      </c>
      <c r="I8" s="18">
        <v>6.2731481481481481E-5</v>
      </c>
      <c r="J8" s="18">
        <v>1.3124999999999999E-4</v>
      </c>
      <c r="K8" s="108"/>
      <c r="O8" s="87">
        <v>0</v>
      </c>
      <c r="P8" s="87">
        <v>0</v>
      </c>
      <c r="Q8" s="87">
        <v>0</v>
      </c>
    </row>
    <row r="9" spans="1:18" ht="15" customHeight="1" x14ac:dyDescent="0.2">
      <c r="A9" s="19">
        <v>2</v>
      </c>
      <c r="B9" s="200"/>
      <c r="C9" s="19">
        <v>4</v>
      </c>
      <c r="D9" s="24"/>
      <c r="E9" s="17"/>
      <c r="F9" s="17"/>
      <c r="G9" s="17"/>
      <c r="H9" s="18">
        <v>1.0081018518518521E-4</v>
      </c>
      <c r="I9" s="18">
        <v>1.2743055555555557E-4</v>
      </c>
      <c r="J9" s="18">
        <v>2.2824074074074074E-4</v>
      </c>
      <c r="K9" s="108"/>
      <c r="O9" s="87">
        <v>0</v>
      </c>
      <c r="P9" s="87">
        <v>0</v>
      </c>
      <c r="Q9" s="87">
        <v>0</v>
      </c>
    </row>
    <row r="10" spans="1:18" ht="15" customHeight="1" x14ac:dyDescent="0.2">
      <c r="A10" s="19">
        <v>3</v>
      </c>
      <c r="B10" s="199">
        <v>2</v>
      </c>
      <c r="C10" s="31">
        <v>2</v>
      </c>
      <c r="D10" s="24"/>
      <c r="E10" s="17"/>
      <c r="F10" s="17"/>
      <c r="G10" s="17"/>
      <c r="H10" s="18">
        <v>6.4930555555555556E-5</v>
      </c>
      <c r="I10" s="18">
        <v>7.0486111111111105E-5</v>
      </c>
      <c r="J10" s="18">
        <v>1.3541666666666666E-4</v>
      </c>
      <c r="K10" s="108"/>
      <c r="O10" s="87">
        <v>0</v>
      </c>
      <c r="P10" s="87">
        <v>0</v>
      </c>
      <c r="Q10" s="87">
        <v>0</v>
      </c>
    </row>
    <row r="11" spans="1:18" ht="15" customHeight="1" x14ac:dyDescent="0.2">
      <c r="A11" s="19">
        <v>4</v>
      </c>
      <c r="B11" s="200"/>
      <c r="C11" s="19">
        <v>3</v>
      </c>
      <c r="D11" s="24"/>
      <c r="E11" s="17"/>
      <c r="F11" s="17"/>
      <c r="G11" s="17"/>
      <c r="H11" s="18"/>
      <c r="I11" s="18"/>
      <c r="J11" s="18"/>
      <c r="K11" s="108"/>
    </row>
    <row r="12" spans="1:18" ht="12.75" customHeight="1" x14ac:dyDescent="0.2"/>
    <row r="13" spans="1:18" ht="12.75" customHeight="1" x14ac:dyDescent="0.2">
      <c r="B13" s="197" t="s">
        <v>16</v>
      </c>
      <c r="C13" s="197"/>
      <c r="D13" s="5" t="str">
        <f>Квалификация!$C$40</f>
        <v>Калентеенков С. В. (с1к)</v>
      </c>
    </row>
    <row r="14" spans="1:18" ht="12.75" customHeight="1" x14ac:dyDescent="0.2">
      <c r="B14" s="197" t="s">
        <v>17</v>
      </c>
      <c r="C14" s="197"/>
      <c r="D14" s="5" t="str">
        <f>Квалификация!$C$41</f>
        <v>Калентеенкова С. Н. (с1к)</v>
      </c>
    </row>
  </sheetData>
  <mergeCells count="15">
    <mergeCell ref="D6:E6"/>
    <mergeCell ref="A1:J1"/>
    <mergeCell ref="K2:L5"/>
    <mergeCell ref="B14:C14"/>
    <mergeCell ref="B13:C13"/>
    <mergeCell ref="L7:N7"/>
    <mergeCell ref="A6:C6"/>
    <mergeCell ref="B10:B11"/>
    <mergeCell ref="B8:B9"/>
    <mergeCell ref="M2:R3"/>
    <mergeCell ref="M4:R5"/>
    <mergeCell ref="A2:B2"/>
    <mergeCell ref="G2:J2"/>
    <mergeCell ref="A3:J3"/>
    <mergeCell ref="A4:J4"/>
  </mergeCells>
  <phoneticPr fontId="0" type="noConversion"/>
  <conditionalFormatting sqref="C8:J8 A8 C10:J10 A10">
    <cfRule type="expression" dxfId="16" priority="7" stopIfTrue="1">
      <formula>AND($J8&lt;$J9,$J8&lt;&gt;"",$J9&lt;&gt;"")</formula>
    </cfRule>
  </conditionalFormatting>
  <conditionalFormatting sqref="C9:J9 A9 C11:J11 A11">
    <cfRule type="expression" dxfId="15" priority="8" stopIfTrue="1">
      <formula>AND($J9&lt;$J8,$J9&lt;&gt;"",$J8&lt;&gt;"")</formula>
    </cfRule>
  </conditionalFormatting>
  <conditionalFormatting sqref="J8 J10">
    <cfRule type="expression" dxfId="14" priority="1">
      <formula>I8="срыв"</formula>
    </cfRule>
  </conditionalFormatting>
  <conditionalFormatting sqref="J9 J11">
    <cfRule type="expression" dxfId="13" priority="2">
      <formula>H9="срыв"</formula>
    </cfRule>
  </conditionalFormatting>
  <conditionalFormatting sqref="H8:J11">
    <cfRule type="expression" dxfId="12" priority="4">
      <formula>IF(L8 &gt;= 16, INT(L8 / 16), 0) = 1</formula>
    </cfRule>
    <cfRule type="expression" dxfId="11" priority="5" stopIfTrue="1">
      <formula>IF(L8 &gt;= 16, L8 - 16, L8) =2</formula>
    </cfRule>
    <cfRule type="expression" dxfId="10" priority="6" stopIfTrue="1">
      <formula>IF(L8 &gt;= 16, L8 - 16, L8) =1</formula>
    </cfRule>
  </conditionalFormatting>
  <dataValidations count="2">
    <dataValidation type="list" allowBlank="1" sqref="J8:J11">
      <formula1>"я неявка"</formula1>
    </dataValidation>
    <dataValidation type="list" allowBlank="1" sqref="H8:I11">
      <formula1>"срыв,я неявка,фальстарт,я  снят"</formula1>
    </dataValidation>
  </dataValidations>
  <pageMargins left="0.75" right="0.75" top="1" bottom="1" header="0.5" footer="0.5"/>
  <pageSetup paperSize="9" scale="80" orientation="portrait" blackAndWhite="1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R17"/>
  <sheetViews>
    <sheetView showZeros="0" zoomScaleNormal="100" workbookViewId="0">
      <pane xSplit="10" ySplit="17" topLeftCell="K18" activePane="bottomRight" state="frozen"/>
      <selection pane="topRight" activeCell="K1" sqref="K1"/>
      <selection pane="bottomLeft" activeCell="A18" sqref="A18"/>
      <selection pane="bottomRight" activeCell="H10" sqref="H10"/>
    </sheetView>
  </sheetViews>
  <sheetFormatPr defaultRowHeight="12.75" x14ac:dyDescent="0.2"/>
  <cols>
    <col min="1" max="1" width="11.7109375" customWidth="1"/>
    <col min="2" max="2" width="23.7109375" customWidth="1"/>
    <col min="3" max="3" width="16.7109375" customWidth="1"/>
    <col min="4" max="4" width="7.7109375" customWidth="1"/>
    <col min="5" max="8" width="10.7109375" customWidth="1"/>
    <col min="9" max="10" width="7.140625" customWidth="1"/>
  </cols>
  <sheetData>
    <row r="1" spans="1:18" ht="38.1" customHeight="1" x14ac:dyDescent="0.2">
      <c r="A1" s="201" t="str">
        <f>Квалификация!$A$1</f>
        <v>Спортивный фестиваль "Веселые старты"</v>
      </c>
      <c r="B1" s="201"/>
      <c r="C1" s="201"/>
      <c r="D1" s="201"/>
      <c r="E1" s="201"/>
      <c r="F1" s="201"/>
      <c r="G1" s="201"/>
      <c r="H1" s="201"/>
      <c r="I1" s="201"/>
      <c r="J1" s="201"/>
      <c r="K1" s="104"/>
      <c r="L1" s="118"/>
      <c r="M1" s="118"/>
      <c r="N1" s="118"/>
      <c r="O1" s="118"/>
      <c r="P1" s="118"/>
      <c r="Q1" s="118"/>
      <c r="R1" s="118"/>
    </row>
    <row r="2" spans="1:18" ht="15" customHeight="1" x14ac:dyDescent="0.2">
      <c r="A2" s="209" t="s">
        <v>21</v>
      </c>
      <c r="B2" s="209"/>
      <c r="C2" s="52"/>
      <c r="D2" s="52"/>
      <c r="E2" s="52"/>
      <c r="G2" s="163" t="s">
        <v>114</v>
      </c>
      <c r="H2" s="163"/>
      <c r="I2" s="163"/>
      <c r="J2" s="163"/>
      <c r="K2" s="175" t="s">
        <v>49</v>
      </c>
      <c r="L2" s="175"/>
      <c r="M2" s="211" t="s">
        <v>45</v>
      </c>
      <c r="N2" s="211"/>
      <c r="O2" s="211"/>
      <c r="P2" s="211"/>
      <c r="Q2" s="211"/>
    </row>
    <row r="3" spans="1:18" ht="17.100000000000001" customHeight="1" x14ac:dyDescent="0.25">
      <c r="A3" s="202" t="s">
        <v>27</v>
      </c>
      <c r="B3" s="202"/>
      <c r="C3" s="202"/>
      <c r="D3" s="202"/>
      <c r="E3" s="202"/>
      <c r="F3" s="202"/>
      <c r="G3" s="202"/>
      <c r="H3" s="202"/>
      <c r="I3" s="202"/>
      <c r="J3" s="202"/>
      <c r="K3" s="175"/>
      <c r="L3" s="175"/>
      <c r="M3" s="211"/>
      <c r="N3" s="211"/>
      <c r="O3" s="211"/>
      <c r="P3" s="211"/>
      <c r="Q3" s="211"/>
    </row>
    <row r="4" spans="1:18" ht="18" customHeight="1" x14ac:dyDescent="0.2">
      <c r="A4" s="203" t="s">
        <v>54</v>
      </c>
      <c r="B4" s="203"/>
      <c r="C4" s="203"/>
      <c r="D4" s="203"/>
      <c r="E4" s="203"/>
      <c r="F4" s="203"/>
      <c r="G4" s="203"/>
      <c r="H4" s="203"/>
      <c r="I4" s="203"/>
      <c r="J4" s="203"/>
      <c r="K4" s="175"/>
      <c r="L4" s="175"/>
      <c r="M4" s="188" t="s">
        <v>46</v>
      </c>
      <c r="N4" s="188"/>
      <c r="O4" s="188"/>
      <c r="P4" s="188"/>
      <c r="Q4" s="188"/>
    </row>
    <row r="5" spans="1:18" ht="12.75" customHeight="1" x14ac:dyDescent="0.2">
      <c r="A5" s="7"/>
      <c r="B5" s="7"/>
      <c r="C5" s="7"/>
      <c r="D5" s="7"/>
      <c r="E5" s="7"/>
      <c r="F5" s="7"/>
      <c r="G5" s="47"/>
      <c r="H5" s="47"/>
      <c r="I5" s="7"/>
      <c r="K5" s="175"/>
      <c r="L5" s="175"/>
      <c r="M5" s="188"/>
      <c r="N5" s="188"/>
      <c r="O5" s="188"/>
      <c r="P5" s="188"/>
      <c r="Q5" s="188"/>
    </row>
    <row r="6" spans="1:18" ht="12.75" hidden="1" customHeight="1" x14ac:dyDescent="0.2">
      <c r="A6" s="183" t="s">
        <v>0</v>
      </c>
      <c r="B6" s="183"/>
      <c r="C6" s="183">
        <f>Стартовый!C6</f>
        <v>0</v>
      </c>
      <c r="D6" s="183"/>
      <c r="E6" s="183"/>
      <c r="F6" s="7"/>
      <c r="G6" s="7"/>
      <c r="H6" s="7"/>
      <c r="I6" s="7"/>
      <c r="K6" s="117"/>
      <c r="L6" s="117"/>
      <c r="M6" s="113"/>
      <c r="N6" s="114"/>
      <c r="O6" s="114"/>
      <c r="P6" s="114"/>
      <c r="Q6" s="115"/>
    </row>
    <row r="7" spans="1:18" ht="17.100000000000001" customHeight="1" x14ac:dyDescent="0.2">
      <c r="A7" s="204" t="s">
        <v>13</v>
      </c>
      <c r="B7" s="204"/>
      <c r="C7" s="204"/>
      <c r="D7" s="204"/>
      <c r="E7" s="204"/>
      <c r="F7" s="204"/>
      <c r="G7" s="204"/>
      <c r="H7" s="204"/>
      <c r="I7" s="204"/>
      <c r="J7" s="204"/>
      <c r="K7" s="214" t="s">
        <v>67</v>
      </c>
      <c r="L7" s="214"/>
    </row>
    <row r="8" spans="1:18" ht="15" customHeight="1" x14ac:dyDescent="0.2">
      <c r="A8" s="15" t="s">
        <v>1</v>
      </c>
      <c r="B8" s="15" t="s">
        <v>59</v>
      </c>
      <c r="C8" s="15" t="s">
        <v>2</v>
      </c>
      <c r="D8" s="15" t="s">
        <v>3</v>
      </c>
      <c r="E8" s="15" t="s">
        <v>4</v>
      </c>
      <c r="F8" s="15" t="s">
        <v>22</v>
      </c>
      <c r="G8" s="15" t="s">
        <v>6</v>
      </c>
      <c r="H8" s="15" t="s">
        <v>7</v>
      </c>
      <c r="I8" s="210" t="s">
        <v>14</v>
      </c>
      <c r="J8" s="210"/>
      <c r="K8" s="88"/>
    </row>
    <row r="9" spans="1:18" ht="15" customHeight="1" x14ac:dyDescent="0.2">
      <c r="A9" s="14">
        <v>1</v>
      </c>
      <c r="B9" s="21"/>
      <c r="C9" s="14"/>
      <c r="D9" s="14"/>
      <c r="E9" s="14"/>
      <c r="F9" s="18">
        <v>1.4027777777777777E-4</v>
      </c>
      <c r="G9" s="18">
        <v>1.7534722222222222E-4</v>
      </c>
      <c r="H9" s="18">
        <v>3.1562499999999999E-4</v>
      </c>
      <c r="I9" s="208"/>
      <c r="J9" s="207"/>
      <c r="K9" s="89"/>
      <c r="L9" s="80"/>
      <c r="M9" s="80"/>
    </row>
    <row r="10" spans="1:18" ht="15" customHeight="1" x14ac:dyDescent="0.2">
      <c r="A10" s="14">
        <v>2</v>
      </c>
      <c r="B10" s="21"/>
      <c r="C10" s="14"/>
      <c r="D10" s="14"/>
      <c r="E10" s="14"/>
      <c r="F10" s="18">
        <v>1.7534722222222222E-4</v>
      </c>
      <c r="G10" s="18">
        <v>1.4074074074074073E-4</v>
      </c>
      <c r="H10" s="18">
        <v>3.1608796296296295E-4</v>
      </c>
      <c r="I10" s="212"/>
      <c r="J10" s="213"/>
      <c r="K10" s="88"/>
      <c r="L10" s="80"/>
      <c r="M10" s="80"/>
    </row>
    <row r="11" spans="1:18" x14ac:dyDescent="0.2">
      <c r="A11" s="6"/>
      <c r="B11" s="6"/>
      <c r="C11" s="6"/>
      <c r="D11" s="6"/>
      <c r="E11" s="6"/>
      <c r="F11" s="6"/>
      <c r="G11" s="6"/>
      <c r="H11" s="6"/>
      <c r="I11" s="6"/>
      <c r="K11" s="88"/>
      <c r="L11" s="88"/>
      <c r="M11" s="88"/>
    </row>
    <row r="12" spans="1:18" ht="17.100000000000001" customHeight="1" x14ac:dyDescent="0.2">
      <c r="A12" s="205" t="s">
        <v>12</v>
      </c>
      <c r="B12" s="205"/>
      <c r="C12" s="205"/>
      <c r="D12" s="205"/>
      <c r="E12" s="205"/>
      <c r="F12" s="205"/>
      <c r="G12" s="205"/>
      <c r="H12" s="205"/>
      <c r="I12" s="205"/>
      <c r="J12" s="205"/>
      <c r="K12" s="88"/>
      <c r="L12" s="88"/>
      <c r="M12" s="88"/>
      <c r="N12" s="80"/>
      <c r="O12" s="80"/>
      <c r="P12" s="80"/>
      <c r="Q12" s="80"/>
    </row>
    <row r="13" spans="1:18" ht="15" customHeight="1" x14ac:dyDescent="0.2">
      <c r="A13" s="14">
        <v>3</v>
      </c>
      <c r="B13" s="21"/>
      <c r="C13" s="14"/>
      <c r="D13" s="14"/>
      <c r="E13" s="14"/>
      <c r="F13" s="18">
        <v>1.1712962962962963E-4</v>
      </c>
      <c r="G13" s="18">
        <v>1.7361111111111114E-4</v>
      </c>
      <c r="H13" s="18">
        <v>2.9074074074074077E-4</v>
      </c>
      <c r="I13" s="206"/>
      <c r="J13" s="207"/>
      <c r="K13" s="88"/>
      <c r="L13" s="88"/>
      <c r="M13" s="88"/>
      <c r="N13" s="80"/>
      <c r="O13" s="80"/>
      <c r="P13" s="80"/>
      <c r="Q13" s="80"/>
    </row>
    <row r="14" spans="1:18" ht="15" customHeight="1" x14ac:dyDescent="0.2">
      <c r="A14" s="14">
        <v>4</v>
      </c>
      <c r="B14" s="21"/>
      <c r="C14" s="14"/>
      <c r="D14" s="14"/>
      <c r="E14" s="14"/>
      <c r="F14" s="18">
        <v>4.0162037037037336E-5</v>
      </c>
      <c r="G14" s="18">
        <v>6.495370370370369E-4</v>
      </c>
      <c r="H14" s="18">
        <v>6.8969907407407424E-4</v>
      </c>
      <c r="I14" s="206"/>
      <c r="J14" s="207"/>
      <c r="K14" s="88"/>
      <c r="L14" s="88"/>
      <c r="M14" s="88"/>
      <c r="N14" s="80"/>
      <c r="O14" s="80"/>
      <c r="P14" s="80"/>
      <c r="Q14" s="80"/>
    </row>
    <row r="15" spans="1:18" ht="12.75" customHeight="1" x14ac:dyDescent="0.2">
      <c r="K15" s="80"/>
      <c r="L15" s="80"/>
      <c r="M15" s="80"/>
      <c r="N15" s="80"/>
      <c r="O15" s="80"/>
      <c r="P15" s="80"/>
      <c r="Q15" s="80"/>
    </row>
    <row r="16" spans="1:18" ht="21.95" customHeight="1" x14ac:dyDescent="0.2">
      <c r="B16" t="s">
        <v>16</v>
      </c>
      <c r="C16" s="197" t="str">
        <f>Квалификация!$C$40</f>
        <v>Калентеенков С. В. (с1к)</v>
      </c>
      <c r="D16" s="197"/>
      <c r="E16" s="197"/>
      <c r="K16" s="80"/>
      <c r="L16" s="80"/>
      <c r="M16" s="80"/>
      <c r="N16" s="80"/>
      <c r="O16" s="80"/>
      <c r="P16" s="80"/>
      <c r="Q16" s="80"/>
    </row>
    <row r="17" spans="2:5" ht="21.95" customHeight="1" x14ac:dyDescent="0.2">
      <c r="B17" t="s">
        <v>17</v>
      </c>
      <c r="C17" s="197" t="str">
        <f>Квалификация!$C$41</f>
        <v>Калентеенкова С. Н. (с1к)</v>
      </c>
      <c r="D17" s="197"/>
      <c r="E17" s="197"/>
    </row>
  </sheetData>
  <mergeCells count="20">
    <mergeCell ref="M2:Q3"/>
    <mergeCell ref="K2:L5"/>
    <mergeCell ref="M4:Q5"/>
    <mergeCell ref="I10:J10"/>
    <mergeCell ref="K7:L7"/>
    <mergeCell ref="C17:E17"/>
    <mergeCell ref="A1:J1"/>
    <mergeCell ref="A3:J3"/>
    <mergeCell ref="A4:J4"/>
    <mergeCell ref="A7:J7"/>
    <mergeCell ref="A12:J12"/>
    <mergeCell ref="I13:J13"/>
    <mergeCell ref="I9:J9"/>
    <mergeCell ref="C6:E6"/>
    <mergeCell ref="A6:B6"/>
    <mergeCell ref="A2:B2"/>
    <mergeCell ref="G2:J2"/>
    <mergeCell ref="I8:J8"/>
    <mergeCell ref="C16:E16"/>
    <mergeCell ref="I14:J14"/>
  </mergeCells>
  <phoneticPr fontId="5" type="noConversion"/>
  <conditionalFormatting sqref="A9:J9 A13:J13">
    <cfRule type="expression" dxfId="9" priority="6" stopIfTrue="1">
      <formula>AND($H9&lt;$H10,$H9&lt;&gt;"",$H10&lt;&gt;"")</formula>
    </cfRule>
  </conditionalFormatting>
  <conditionalFormatting sqref="A10:J10 A14:J14">
    <cfRule type="expression" dxfId="8" priority="7" stopIfTrue="1">
      <formula>AND($H10&lt;$H9,$H9&lt;&gt;"",$H10&lt;&gt;"")</formula>
    </cfRule>
  </conditionalFormatting>
  <conditionalFormatting sqref="H9 H13">
    <cfRule type="expression" dxfId="7" priority="1">
      <formula>G9="срыв"</formula>
    </cfRule>
  </conditionalFormatting>
  <conditionalFormatting sqref="H10 H14">
    <cfRule type="expression" dxfId="6" priority="2">
      <formula>F10="срыв"</formula>
    </cfRule>
  </conditionalFormatting>
  <conditionalFormatting sqref="F9:H10 F13:H14">
    <cfRule type="expression" dxfId="5" priority="3">
      <formula>IF(K9 &gt;= 16, INT(K9 / 16), 0) = 1</formula>
    </cfRule>
    <cfRule type="expression" dxfId="4" priority="4" stopIfTrue="1">
      <formula>IF(K9 &gt;= 16, K9 - 16, K9) =2</formula>
    </cfRule>
    <cfRule type="expression" dxfId="3" priority="5" stopIfTrue="1">
      <formula>IF(K9 &gt;= 16, K9 - 16, K9)=1</formula>
    </cfRule>
  </conditionalFormatting>
  <dataValidations count="2">
    <dataValidation type="list" allowBlank="1" sqref="F9:G10 F13:G14">
      <formula1>"срыв,я неявка,фальстарт,я  снят"</formula1>
    </dataValidation>
    <dataValidation type="list" allowBlank="1" sqref="H9:H10 H13:H14">
      <formula1>"я неявка"</formula1>
    </dataValidation>
  </dataValidations>
  <pageMargins left="0.75" right="0.75" top="1" bottom="1" header="0.5" footer="0.5"/>
  <pageSetup paperSize="9" scale="80" orientation="portrait" blackAndWhite="1" r:id="rId1"/>
  <headerFooter alignWithMargins="0"/>
  <colBreaks count="1" manualBreakCount="1">
    <brk id="9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M41"/>
  <sheetViews>
    <sheetView showZeros="0" zoomScaleNormal="100" zoomScaleSheetLayoutView="70" workbookViewId="0">
      <pane ySplit="7" topLeftCell="A8" activePane="bottomLeft" state="frozen"/>
      <selection pane="bottomLeft" activeCell="K1" sqref="K1"/>
    </sheetView>
  </sheetViews>
  <sheetFormatPr defaultRowHeight="12.75" x14ac:dyDescent="0.2"/>
  <cols>
    <col min="1" max="1" width="11.7109375" customWidth="1"/>
    <col min="2" max="2" width="23.7109375" customWidth="1"/>
    <col min="3" max="3" width="16.7109375" customWidth="1"/>
    <col min="4" max="4" width="7.7109375" customWidth="1"/>
    <col min="5" max="8" width="10.7109375" customWidth="1"/>
    <col min="9" max="10" width="12.140625" customWidth="1"/>
    <col min="11" max="11" width="12.28515625" customWidth="1"/>
    <col min="12" max="12" width="10.7109375" customWidth="1"/>
    <col min="13" max="13" width="13.5703125" customWidth="1"/>
  </cols>
  <sheetData>
    <row r="1" spans="1:13" ht="38.1" customHeight="1" x14ac:dyDescent="0.25">
      <c r="A1" s="201" t="str">
        <f>Квалификация!A1</f>
        <v>Спортивный фестиваль "Веселые старты"</v>
      </c>
      <c r="B1" s="201"/>
      <c r="C1" s="201"/>
      <c r="D1" s="201"/>
      <c r="E1" s="201"/>
      <c r="F1" s="201"/>
      <c r="G1" s="201"/>
      <c r="H1" s="201"/>
      <c r="I1" s="201"/>
      <c r="J1" s="13"/>
      <c r="K1" s="55"/>
      <c r="L1" s="7"/>
      <c r="M1" s="7"/>
    </row>
    <row r="2" spans="1:13" ht="15.75" x14ac:dyDescent="0.25">
      <c r="A2" s="209" t="s">
        <v>21</v>
      </c>
      <c r="B2" s="209"/>
      <c r="C2" s="8"/>
      <c r="D2" s="8"/>
      <c r="E2" s="8"/>
      <c r="F2" s="163" t="s">
        <v>114</v>
      </c>
      <c r="G2" s="163"/>
      <c r="H2" s="163"/>
      <c r="I2" s="163"/>
      <c r="J2" s="8"/>
      <c r="K2" s="8"/>
      <c r="L2" s="7"/>
      <c r="M2" s="7"/>
    </row>
    <row r="3" spans="1:13" ht="17.100000000000001" customHeight="1" x14ac:dyDescent="0.25">
      <c r="A3" s="202" t="s">
        <v>30</v>
      </c>
      <c r="B3" s="202"/>
      <c r="C3" s="202"/>
      <c r="D3" s="202"/>
      <c r="E3" s="202"/>
      <c r="F3" s="202"/>
      <c r="G3" s="202"/>
      <c r="H3" s="202"/>
      <c r="I3" s="202"/>
      <c r="J3" s="7"/>
      <c r="K3" s="7"/>
      <c r="L3" s="7"/>
      <c r="M3" s="7"/>
    </row>
    <row r="4" spans="1:13" ht="15.95" customHeight="1" x14ac:dyDescent="0.2">
      <c r="A4" s="203" t="s">
        <v>55</v>
      </c>
      <c r="B4" s="203"/>
      <c r="C4" s="203"/>
      <c r="D4" s="203"/>
      <c r="E4" s="203"/>
      <c r="F4" s="203"/>
      <c r="G4" s="203"/>
      <c r="H4" s="203"/>
      <c r="I4" s="203"/>
      <c r="J4" s="7"/>
      <c r="K4" s="7"/>
      <c r="L4" s="7"/>
      <c r="M4" s="7"/>
    </row>
    <row r="5" spans="1:13" x14ac:dyDescent="0.2">
      <c r="A5" s="7"/>
      <c r="B5" s="7"/>
      <c r="C5" s="7"/>
      <c r="D5" s="7"/>
      <c r="E5" s="7"/>
      <c r="F5" s="7"/>
      <c r="G5" s="47"/>
      <c r="H5" s="47"/>
      <c r="I5" s="53"/>
      <c r="J5" s="53"/>
      <c r="K5" s="7"/>
      <c r="L5" s="7"/>
      <c r="M5" s="7"/>
    </row>
    <row r="6" spans="1:13" hidden="1" x14ac:dyDescent="0.2">
      <c r="A6" s="9" t="s">
        <v>0</v>
      </c>
      <c r="B6" s="9"/>
      <c r="C6" s="183">
        <f>Стартовый!C6</f>
        <v>0</v>
      </c>
      <c r="D6" s="183"/>
      <c r="E6" s="183"/>
      <c r="F6" s="9"/>
      <c r="G6" s="7"/>
      <c r="H6" s="7"/>
      <c r="I6" s="7"/>
      <c r="J6" s="7"/>
      <c r="K6" s="7"/>
      <c r="L6" s="7"/>
      <c r="M6" s="7"/>
    </row>
    <row r="7" spans="1:13" ht="15" customHeight="1" x14ac:dyDescent="0.2">
      <c r="A7" s="23" t="s">
        <v>19</v>
      </c>
      <c r="B7" s="22" t="s">
        <v>59</v>
      </c>
      <c r="C7" s="23" t="s">
        <v>2</v>
      </c>
      <c r="D7" s="23" t="s">
        <v>3</v>
      </c>
      <c r="E7" s="23" t="s">
        <v>4</v>
      </c>
      <c r="F7" s="23" t="s">
        <v>22</v>
      </c>
      <c r="G7" s="23" t="s">
        <v>6</v>
      </c>
      <c r="H7" s="23" t="s">
        <v>7</v>
      </c>
      <c r="I7" s="23" t="s">
        <v>8</v>
      </c>
      <c r="J7" s="23" t="s">
        <v>9</v>
      </c>
      <c r="K7" s="23" t="s">
        <v>11</v>
      </c>
      <c r="L7" s="23" t="s">
        <v>18</v>
      </c>
      <c r="M7" s="23" t="s">
        <v>20</v>
      </c>
    </row>
    <row r="8" spans="1:13" ht="15" customHeight="1" x14ac:dyDescent="0.2">
      <c r="A8" s="98" t="s">
        <v>23</v>
      </c>
      <c r="B8" s="24"/>
      <c r="C8" s="17"/>
      <c r="D8" s="17"/>
      <c r="E8" s="17"/>
      <c r="F8" s="18">
        <f>IF(B8=0,0,VLOOKUP(B8,Квалификация!$B$8:$H$41,5,FALSE))</f>
        <v>0</v>
      </c>
      <c r="G8" s="18">
        <f>IF(B8=0,0,VLOOKUP(B8,Квалификация!$B$8:$H$41,6,FALSE))</f>
        <v>0</v>
      </c>
      <c r="H8" s="18">
        <f>IF(B8=0,0,VLOOKUP(B8,Квалификация!$B$8:$H$41,7,FALSE))</f>
        <v>0</v>
      </c>
      <c r="I8" s="18">
        <f>IF(B8=0,0,VLOOKUP(B8,'Одна восьмая финала'!$D$8:$J$23,7,FALSE))</f>
        <v>0</v>
      </c>
      <c r="J8" s="18">
        <f>IF(B8=0,0,VLOOKUP(B8,Четвертьфинал!$D$8:$J$15,7,FALSE))</f>
        <v>0</v>
      </c>
      <c r="K8" s="18">
        <f>IF(B8=0,0,VLOOKUP(B8,Полуфинал!$D$8:$J$11,7,FALSE))</f>
        <v>0</v>
      </c>
      <c r="L8" s="18">
        <f>IF(B8=0,0,VLOOKUP(B8,Финал!$B$13:$H$14,7,FALSE))</f>
        <v>0</v>
      </c>
      <c r="M8" s="18"/>
    </row>
    <row r="9" spans="1:13" ht="15" customHeight="1" x14ac:dyDescent="0.2">
      <c r="A9" s="98" t="s">
        <v>24</v>
      </c>
      <c r="B9" s="24"/>
      <c r="C9" s="17"/>
      <c r="D9" s="17"/>
      <c r="E9" s="17"/>
      <c r="F9" s="18">
        <f>IF(B9=0,0,VLOOKUP(B9,Квалификация!$B$8:$H$41,5,FALSE))</f>
        <v>0</v>
      </c>
      <c r="G9" s="18">
        <f>IF(B9=0,0,VLOOKUP(B9,Квалификация!$B$8:$H$41,6,FALSE))</f>
        <v>0</v>
      </c>
      <c r="H9" s="18">
        <f>IF(B9=0,0,VLOOKUP(B9,Квалификация!$B$8:$H$41,7,FALSE))</f>
        <v>0</v>
      </c>
      <c r="I9" s="18">
        <f>IF(B9=0,0,VLOOKUP(B9,'Одна восьмая финала'!$D$8:$J$23,7,FALSE))</f>
        <v>0</v>
      </c>
      <c r="J9" s="18">
        <f>IF(B9=0,0,VLOOKUP(B9,Четвертьфинал!$D$8:$J$15,7,FALSE))</f>
        <v>0</v>
      </c>
      <c r="K9" s="18">
        <f>IF(B9=0,0,VLOOKUP(B9,Полуфинал!$D$8:$J$11,7,FALSE))</f>
        <v>0</v>
      </c>
      <c r="L9" s="18">
        <f>IF(B9=0,0,VLOOKUP(B9,Финал!$B$13:$H$14,7,FALSE))</f>
        <v>0</v>
      </c>
      <c r="M9" s="18"/>
    </row>
    <row r="10" spans="1:13" ht="15" customHeight="1" x14ac:dyDescent="0.2">
      <c r="A10" s="98" t="s">
        <v>25</v>
      </c>
      <c r="B10" s="24"/>
      <c r="C10" s="17"/>
      <c r="D10" s="17"/>
      <c r="E10" s="17"/>
      <c r="F10" s="18">
        <f>IF(B10=0,0,VLOOKUP(B10,Квалификация!$B$8:$H$41,5,FALSE))</f>
        <v>0</v>
      </c>
      <c r="G10" s="18">
        <f>IF(B10=0,0,VLOOKUP(B10,Квалификация!$B$8:$H$41,6,FALSE))</f>
        <v>0</v>
      </c>
      <c r="H10" s="18">
        <f>IF(B10=0,0,VLOOKUP(B10,Квалификация!$B$8:$H$41,7,FALSE))</f>
        <v>0</v>
      </c>
      <c r="I10" s="18">
        <f>IF(B10=0,0,VLOOKUP(B10,'Одна восьмая финала'!$D$8:$J$23,7,FALSE))</f>
        <v>0</v>
      </c>
      <c r="J10" s="18">
        <f>IF(B10=0,0,VLOOKUP(B10,Четвертьфинал!$D$8:$J$15,7,FALSE))</f>
        <v>0</v>
      </c>
      <c r="K10" s="18">
        <f>IF(B10=0,0,VLOOKUP(B10,Полуфинал!$D$8:$J$11,7,FALSE))</f>
        <v>0</v>
      </c>
      <c r="L10" s="18">
        <f>IF(B10=0,0,VLOOKUP(B10,Финал!$B$9:$H$10,7,FALSE))</f>
        <v>0</v>
      </c>
      <c r="M10" s="18"/>
    </row>
    <row r="11" spans="1:13" ht="15" customHeight="1" thickBot="1" x14ac:dyDescent="0.25">
      <c r="A11" s="99">
        <v>4</v>
      </c>
      <c r="B11" s="39"/>
      <c r="C11" s="38"/>
      <c r="D11" s="38"/>
      <c r="E11" s="38"/>
      <c r="F11" s="40">
        <f>IF(B11=0,0,VLOOKUP(B11,Квалификация!$B$8:$H$41,5,FALSE))</f>
        <v>0</v>
      </c>
      <c r="G11" s="40">
        <f>IF(B11=0,0,VLOOKUP(B11,Квалификация!$B$8:$H$41,6,FALSE))</f>
        <v>0</v>
      </c>
      <c r="H11" s="40">
        <f>IF(B11=0,0,VLOOKUP(B11,Квалификация!$B$8:$H$41,7,FALSE))</f>
        <v>0</v>
      </c>
      <c r="I11" s="40">
        <f>IF(B11=0,0,VLOOKUP(B11,'Одна восьмая финала'!$D$8:$J$23,7,FALSE))</f>
        <v>0</v>
      </c>
      <c r="J11" s="40">
        <f>IF(B11=0,0,VLOOKUP(B11,Четвертьфинал!$D$8:$J$15,7,FALSE))</f>
        <v>0</v>
      </c>
      <c r="K11" s="40">
        <f>IF(B11=0,0,VLOOKUP(B11,Полуфинал!$D$8:$J$11,7,FALSE))</f>
        <v>0</v>
      </c>
      <c r="L11" s="40">
        <f>IF(B11=0,0,VLOOKUP(B11,Финал!$B$9:$H$10,7,FALSE))</f>
        <v>0</v>
      </c>
      <c r="M11" s="40"/>
    </row>
    <row r="12" spans="1:13" ht="15" customHeight="1" x14ac:dyDescent="0.2">
      <c r="A12" s="100">
        <v>5</v>
      </c>
      <c r="B12" s="33"/>
      <c r="C12" s="30"/>
      <c r="D12" s="30"/>
      <c r="E12" s="30"/>
      <c r="F12" s="34">
        <f>IF(B12=0,0,VLOOKUP(B12,Квалификация!$B$8:$H$41,5,FALSE))</f>
        <v>0</v>
      </c>
      <c r="G12" s="34">
        <f>IF(B12=0,0,VLOOKUP(B12,Квалификация!$B$8:$H$41,6,FALSE))</f>
        <v>0</v>
      </c>
      <c r="H12" s="34">
        <f>IF(B12=0,0,VLOOKUP(B12,Квалификация!$B$8:$H$41,7,FALSE))</f>
        <v>0</v>
      </c>
      <c r="I12" s="34">
        <f>IF(B12=0,0,VLOOKUP(B12,'Одна восьмая финала'!$D$8:$J$23,7,FALSE))</f>
        <v>0</v>
      </c>
      <c r="J12" s="34">
        <f>IF(B12=0,0,VLOOKUP(B12,Четвертьфинал!$D$8:$J$15,7,FALSE))</f>
        <v>0</v>
      </c>
      <c r="K12" s="26"/>
      <c r="L12" s="27"/>
      <c r="M12" s="36"/>
    </row>
    <row r="13" spans="1:13" ht="15" customHeight="1" x14ac:dyDescent="0.2">
      <c r="A13" s="101">
        <v>6</v>
      </c>
      <c r="B13" s="24"/>
      <c r="C13" s="17"/>
      <c r="D13" s="17"/>
      <c r="E13" s="17"/>
      <c r="F13" s="18">
        <f>IF(B13=0,0,VLOOKUP(B13,Квалификация!$B$8:$H$41,5,FALSE))</f>
        <v>0</v>
      </c>
      <c r="G13" s="18">
        <f>IF(B13=0,0,VLOOKUP(B13,Квалификация!$B$8:$H$41,6,FALSE))</f>
        <v>0</v>
      </c>
      <c r="H13" s="18">
        <f>IF(B13=0,0,VLOOKUP(B13,Квалификация!$B$8:$H$41,7,FALSE))</f>
        <v>0</v>
      </c>
      <c r="I13" s="18">
        <f>IF(B13=0,0,VLOOKUP(B13,'Одна восьмая финала'!$D$8:$J$23,7,FALSE))</f>
        <v>0</v>
      </c>
      <c r="J13" s="18">
        <f>IF(B13=0,0,VLOOKUP(B13,Четвертьфинал!$D$8:$J$15,7,FALSE))</f>
        <v>0</v>
      </c>
      <c r="K13" s="26"/>
      <c r="L13" s="27"/>
      <c r="M13" s="16"/>
    </row>
    <row r="14" spans="1:13" ht="15" customHeight="1" x14ac:dyDescent="0.2">
      <c r="A14" s="101">
        <v>7</v>
      </c>
      <c r="B14" s="24"/>
      <c r="C14" s="17"/>
      <c r="D14" s="17"/>
      <c r="E14" s="17"/>
      <c r="F14" s="18">
        <f>IF(B14=0,0,VLOOKUP(B14,Квалификация!$B$8:$H$41,5,FALSE))</f>
        <v>0</v>
      </c>
      <c r="G14" s="18">
        <f>IF(B14=0,0,VLOOKUP(B14,Квалификация!$B$8:$H$41,6,FALSE))</f>
        <v>0</v>
      </c>
      <c r="H14" s="18">
        <f>IF(B14=0,0,VLOOKUP(B14,Квалификация!$B$8:$H$41,7,FALSE))</f>
        <v>0</v>
      </c>
      <c r="I14" s="18">
        <f>IF(B14=0,0,VLOOKUP(B14,'Одна восьмая финала'!$D$8:$J$23,7,FALSE))</f>
        <v>0</v>
      </c>
      <c r="J14" s="18">
        <f>IF(B14=0,0,VLOOKUP(B14,Четвертьфинал!$D$8:$J$15,7,FALSE))</f>
        <v>0</v>
      </c>
      <c r="K14" s="26"/>
      <c r="L14" s="27"/>
      <c r="M14" s="16"/>
    </row>
    <row r="15" spans="1:13" ht="15" customHeight="1" thickBot="1" x14ac:dyDescent="0.25">
      <c r="A15" s="99">
        <v>8</v>
      </c>
      <c r="B15" s="39"/>
      <c r="C15" s="38"/>
      <c r="D15" s="38"/>
      <c r="E15" s="38"/>
      <c r="F15" s="40">
        <f>IF(B15=0,0,VLOOKUP(B15,Квалификация!$B$8:$H$41,5,FALSE))</f>
        <v>0</v>
      </c>
      <c r="G15" s="40">
        <f>IF(B15=0,0,VLOOKUP(B15,Квалификация!$B$8:$H$41,6,FALSE))</f>
        <v>0</v>
      </c>
      <c r="H15" s="40">
        <f>IF(B15=0,0,VLOOKUP(B15,Квалификация!$B$8:$H$41,7,FALSE))</f>
        <v>0</v>
      </c>
      <c r="I15" s="40">
        <f>IF(B15=0,0,VLOOKUP(B15,'Одна восьмая финала'!$D$8:$J$23,7,FALSE))</f>
        <v>0</v>
      </c>
      <c r="J15" s="40">
        <f>IF(B15=0,0,VLOOKUP(B15,Четвертьфинал!$D$8:$J$15,7,FALSE))</f>
        <v>0</v>
      </c>
      <c r="K15" s="26"/>
      <c r="L15" s="27"/>
      <c r="M15" s="40"/>
    </row>
    <row r="16" spans="1:13" ht="15" customHeight="1" x14ac:dyDescent="0.2">
      <c r="A16" s="100">
        <v>9</v>
      </c>
      <c r="B16" s="33"/>
      <c r="C16" s="30"/>
      <c r="D16" s="30"/>
      <c r="E16" s="30"/>
      <c r="F16" s="34">
        <f>IF(B16=0,0,VLOOKUP(B16,Квалификация!$B$8:$H$41,5,FALSE))</f>
        <v>0</v>
      </c>
      <c r="G16" s="34">
        <f>IF(B16=0,0,VLOOKUP(B16,Квалификация!$B$8:$H$41,6,FALSE))</f>
        <v>0</v>
      </c>
      <c r="H16" s="34">
        <f>IF(B16=0,0,VLOOKUP(B16,Квалификация!$B$8:$H$41,7,FALSE))</f>
        <v>0</v>
      </c>
      <c r="I16" s="34">
        <f>IF(B16=0,0,VLOOKUP(B16,'Одна восьмая финала'!$D$8:$J$23,7,FALSE))</f>
        <v>0</v>
      </c>
      <c r="J16" s="26"/>
      <c r="K16" s="11"/>
      <c r="L16" s="27"/>
      <c r="M16" s="36"/>
    </row>
    <row r="17" spans="1:13" ht="15" customHeight="1" x14ac:dyDescent="0.2">
      <c r="A17" s="101">
        <v>10</v>
      </c>
      <c r="B17" s="24"/>
      <c r="C17" s="17"/>
      <c r="D17" s="17"/>
      <c r="E17" s="17"/>
      <c r="F17" s="18">
        <f>IF(B17=0,0,VLOOKUP(B17,Квалификация!$B$8:$H$41,5,FALSE))</f>
        <v>0</v>
      </c>
      <c r="G17" s="18">
        <f>IF(B17=0,0,VLOOKUP(B17,Квалификация!$B$8:$H$41,6,FALSE))</f>
        <v>0</v>
      </c>
      <c r="H17" s="18">
        <f>IF(B17=0,0,VLOOKUP(B17,Квалификация!$B$8:$H$41,7,FALSE))</f>
        <v>0</v>
      </c>
      <c r="I17" s="18">
        <f>IF(B17=0,0,VLOOKUP(B17,'Одна восьмая финала'!$D$8:$J$23,7,FALSE))</f>
        <v>0</v>
      </c>
      <c r="J17" s="26"/>
      <c r="K17" s="11"/>
      <c r="L17" s="27"/>
      <c r="M17" s="16"/>
    </row>
    <row r="18" spans="1:13" ht="15" customHeight="1" x14ac:dyDescent="0.2">
      <c r="A18" s="101">
        <v>11</v>
      </c>
      <c r="B18" s="24"/>
      <c r="C18" s="17"/>
      <c r="D18" s="17"/>
      <c r="E18" s="17"/>
      <c r="F18" s="18">
        <f>IF(B18=0,0,VLOOKUP(B18,Квалификация!$B$8:$H$41,5,FALSE))</f>
        <v>0</v>
      </c>
      <c r="G18" s="18">
        <f>IF(B18=0,0,VLOOKUP(B18,Квалификация!$B$8:$H$41,6,FALSE))</f>
        <v>0</v>
      </c>
      <c r="H18" s="18">
        <f>IF(B18=0,0,VLOOKUP(B18,Квалификация!$B$8:$H$41,7,FALSE))</f>
        <v>0</v>
      </c>
      <c r="I18" s="18">
        <f>IF(B18=0,0,VLOOKUP(B18,'Одна восьмая финала'!$D$8:$J$23,7,FALSE))</f>
        <v>0</v>
      </c>
      <c r="J18" s="26"/>
      <c r="K18" s="11"/>
      <c r="L18" s="27"/>
      <c r="M18" s="16"/>
    </row>
    <row r="19" spans="1:13" ht="15" customHeight="1" x14ac:dyDescent="0.2">
      <c r="A19" s="101">
        <v>12</v>
      </c>
      <c r="B19" s="24"/>
      <c r="C19" s="17"/>
      <c r="D19" s="17"/>
      <c r="E19" s="17"/>
      <c r="F19" s="18">
        <f>IF(B19=0,0,VLOOKUP(B19,Квалификация!$B$8:$H$41,5,FALSE))</f>
        <v>0</v>
      </c>
      <c r="G19" s="18">
        <f>IF(B19=0,0,VLOOKUP(B19,Квалификация!$B$8:$H$41,6,FALSE))</f>
        <v>0</v>
      </c>
      <c r="H19" s="18">
        <f>IF(B19=0,0,VLOOKUP(B19,Квалификация!$B$8:$H$41,7,FALSE))</f>
        <v>0</v>
      </c>
      <c r="I19" s="18">
        <f>IF(B19=0,0,VLOOKUP(B19,'Одна восьмая финала'!$D$8:$J$23,7,FALSE))</f>
        <v>0</v>
      </c>
      <c r="J19" s="26"/>
      <c r="K19" s="11"/>
      <c r="L19" s="27"/>
      <c r="M19" s="16"/>
    </row>
    <row r="20" spans="1:13" ht="15" customHeight="1" x14ac:dyDescent="0.2">
      <c r="A20" s="101">
        <v>13</v>
      </c>
      <c r="B20" s="24"/>
      <c r="C20" s="17"/>
      <c r="D20" s="17"/>
      <c r="E20" s="17"/>
      <c r="F20" s="18">
        <f>IF(B20=0,0,VLOOKUP(B20,Квалификация!$B$8:$H$41,5,FALSE))</f>
        <v>0</v>
      </c>
      <c r="G20" s="18">
        <f>IF(B20=0,0,VLOOKUP(B20,Квалификация!$B$8:$H$41,6,FALSE))</f>
        <v>0</v>
      </c>
      <c r="H20" s="18">
        <f>IF(B20=0,0,VLOOKUP(B20,Квалификация!$B$8:$H$41,7,FALSE))</f>
        <v>0</v>
      </c>
      <c r="I20" s="18">
        <f>IF(B20=0,0,VLOOKUP(B20,'Одна восьмая финала'!$D$8:$J$23,7,FALSE))</f>
        <v>0</v>
      </c>
      <c r="J20" s="26"/>
      <c r="K20" s="11"/>
      <c r="L20" s="27"/>
      <c r="M20" s="16"/>
    </row>
    <row r="21" spans="1:13" ht="15" customHeight="1" x14ac:dyDescent="0.2">
      <c r="A21" s="101">
        <v>14</v>
      </c>
      <c r="B21" s="24"/>
      <c r="C21" s="17"/>
      <c r="D21" s="17"/>
      <c r="E21" s="17"/>
      <c r="F21" s="18">
        <f>IF(B21=0,0,VLOOKUP(B21,Квалификация!$B$8:$H$41,5,FALSE))</f>
        <v>0</v>
      </c>
      <c r="G21" s="18">
        <f>IF(B21=0,0,VLOOKUP(B21,Квалификация!$B$8:$H$41,6,FALSE))</f>
        <v>0</v>
      </c>
      <c r="H21" s="18">
        <f>IF(B21=0,0,VLOOKUP(B21,Квалификация!$B$8:$H$41,7,FALSE))</f>
        <v>0</v>
      </c>
      <c r="I21" s="18">
        <f>IF(B21=0,0,VLOOKUP(B21,'Одна восьмая финала'!$D$8:$J$23,7,FALSE))</f>
        <v>0</v>
      </c>
      <c r="J21" s="26"/>
      <c r="K21" s="11"/>
      <c r="L21" s="27"/>
      <c r="M21" s="16"/>
    </row>
    <row r="22" spans="1:13" ht="15" customHeight="1" x14ac:dyDescent="0.2">
      <c r="A22" s="101">
        <v>15</v>
      </c>
      <c r="B22" s="24"/>
      <c r="C22" s="17"/>
      <c r="D22" s="17"/>
      <c r="E22" s="17"/>
      <c r="F22" s="18">
        <f>IF(B22=0,0,VLOOKUP(B22,Квалификация!$B$8:$H$41,5,FALSE))</f>
        <v>0</v>
      </c>
      <c r="G22" s="18">
        <f>IF(B22=0,0,VLOOKUP(B22,Квалификация!$B$8:$H$41,6,FALSE))</f>
        <v>0</v>
      </c>
      <c r="H22" s="18">
        <f>IF(B22=0,0,VLOOKUP(B22,Квалификация!$B$8:$H$41,7,FALSE))</f>
        <v>0</v>
      </c>
      <c r="I22" s="18">
        <f>IF(B22=0,0,VLOOKUP(B22,'Одна восьмая финала'!$D$8:$J$23,7,FALSE))</f>
        <v>0</v>
      </c>
      <c r="J22" s="26"/>
      <c r="K22" s="11"/>
      <c r="L22" s="27"/>
      <c r="M22" s="16"/>
    </row>
    <row r="23" spans="1:13" ht="15" customHeight="1" thickBot="1" x14ac:dyDescent="0.25">
      <c r="A23" s="99">
        <v>16</v>
      </c>
      <c r="B23" s="39"/>
      <c r="C23" s="38"/>
      <c r="D23" s="38"/>
      <c r="E23" s="38"/>
      <c r="F23" s="40">
        <f>IF(B23=0,0,VLOOKUP(B23,Квалификация!$B$8:$H$41,5,FALSE))</f>
        <v>0</v>
      </c>
      <c r="G23" s="40">
        <f>IF(B23=0,0,VLOOKUP(B23,Квалификация!$B$8:$H$41,6,FALSE))</f>
        <v>0</v>
      </c>
      <c r="H23" s="40">
        <f>IF(B23=0,0,VLOOKUP(B23,Квалификация!$B$8:$H$41,7,FALSE))</f>
        <v>0</v>
      </c>
      <c r="I23" s="40">
        <f>IF(B23=0,0,VLOOKUP(B23,'Одна восьмая финала'!$D$8:$J$23,7,FALSE))</f>
        <v>0</v>
      </c>
      <c r="J23" s="26"/>
      <c r="K23" s="11"/>
      <c r="L23" s="27"/>
      <c r="M23" s="40"/>
    </row>
    <row r="24" spans="1:13" ht="15" customHeight="1" x14ac:dyDescent="0.2">
      <c r="A24" s="100">
        <v>17</v>
      </c>
      <c r="B24" s="33"/>
      <c r="C24" s="30"/>
      <c r="D24" s="30"/>
      <c r="E24" s="30"/>
      <c r="F24" s="18">
        <v>0</v>
      </c>
      <c r="G24" s="18">
        <v>0</v>
      </c>
      <c r="H24" s="18">
        <v>0</v>
      </c>
      <c r="I24" s="26"/>
      <c r="J24" s="11"/>
      <c r="K24" s="11"/>
      <c r="L24" s="27"/>
      <c r="M24" s="36"/>
    </row>
    <row r="25" spans="1:13" ht="15" customHeight="1" x14ac:dyDescent="0.2">
      <c r="A25" s="101">
        <v>18</v>
      </c>
      <c r="B25" s="24"/>
      <c r="C25" s="17"/>
      <c r="D25" s="17"/>
      <c r="E25" s="17"/>
      <c r="F25" s="18">
        <v>0</v>
      </c>
      <c r="G25" s="18">
        <v>0</v>
      </c>
      <c r="H25" s="18">
        <v>0</v>
      </c>
      <c r="I25" s="26"/>
      <c r="J25" s="11"/>
      <c r="K25" s="11"/>
      <c r="L25" s="27"/>
      <c r="M25" s="16"/>
    </row>
    <row r="26" spans="1:13" ht="15" customHeight="1" x14ac:dyDescent="0.2">
      <c r="A26" s="101">
        <v>19</v>
      </c>
      <c r="B26" s="24"/>
      <c r="C26" s="17"/>
      <c r="D26" s="17"/>
      <c r="E26" s="17"/>
      <c r="F26" s="18">
        <v>0</v>
      </c>
      <c r="G26" s="18">
        <v>0</v>
      </c>
      <c r="H26" s="18">
        <v>0</v>
      </c>
      <c r="I26" s="26"/>
      <c r="J26" s="11"/>
      <c r="K26" s="11"/>
      <c r="L26" s="27"/>
      <c r="M26" s="16"/>
    </row>
    <row r="27" spans="1:13" ht="15" customHeight="1" x14ac:dyDescent="0.2">
      <c r="A27" s="101">
        <v>20</v>
      </c>
      <c r="B27" s="24"/>
      <c r="C27" s="17"/>
      <c r="D27" s="17"/>
      <c r="E27" s="17"/>
      <c r="F27" s="18">
        <v>0</v>
      </c>
      <c r="G27" s="18">
        <v>0</v>
      </c>
      <c r="H27" s="18">
        <v>0</v>
      </c>
      <c r="I27" s="26"/>
      <c r="J27" s="11"/>
      <c r="K27" s="11"/>
      <c r="L27" s="27"/>
      <c r="M27" s="16"/>
    </row>
    <row r="28" spans="1:13" ht="15" customHeight="1" x14ac:dyDescent="0.2">
      <c r="A28" s="101">
        <v>21</v>
      </c>
      <c r="B28" s="24"/>
      <c r="C28" s="17"/>
      <c r="D28" s="17"/>
      <c r="E28" s="17"/>
      <c r="F28" s="18">
        <v>0</v>
      </c>
      <c r="G28" s="18">
        <v>0</v>
      </c>
      <c r="H28" s="18">
        <v>0</v>
      </c>
      <c r="I28" s="26"/>
      <c r="J28" s="11"/>
      <c r="K28" s="11"/>
      <c r="L28" s="27"/>
      <c r="M28" s="16"/>
    </row>
    <row r="29" spans="1:13" ht="15" customHeight="1" x14ac:dyDescent="0.2">
      <c r="A29" s="101">
        <v>22</v>
      </c>
      <c r="B29" s="24"/>
      <c r="C29" s="17"/>
      <c r="D29" s="17"/>
      <c r="E29" s="17"/>
      <c r="F29" s="18">
        <v>0</v>
      </c>
      <c r="G29" s="18">
        <v>0</v>
      </c>
      <c r="H29" s="18">
        <v>0</v>
      </c>
      <c r="I29" s="26"/>
      <c r="J29" s="11"/>
      <c r="K29" s="11"/>
      <c r="L29" s="27"/>
      <c r="M29" s="16"/>
    </row>
    <row r="30" spans="1:13" ht="15" customHeight="1" x14ac:dyDescent="0.2">
      <c r="A30" s="101">
        <v>23</v>
      </c>
      <c r="B30" s="24"/>
      <c r="C30" s="17"/>
      <c r="D30" s="17"/>
      <c r="E30" s="17"/>
      <c r="F30" s="18">
        <v>0</v>
      </c>
      <c r="G30" s="18">
        <v>0</v>
      </c>
      <c r="H30" s="18">
        <v>0</v>
      </c>
      <c r="I30" s="26"/>
      <c r="J30" s="11"/>
      <c r="K30" s="11"/>
      <c r="L30" s="27"/>
      <c r="M30" s="16"/>
    </row>
    <row r="31" spans="1:13" ht="15" customHeight="1" x14ac:dyDescent="0.2">
      <c r="A31" s="101">
        <v>24</v>
      </c>
      <c r="B31" s="24"/>
      <c r="C31" s="17"/>
      <c r="D31" s="17"/>
      <c r="E31" s="17"/>
      <c r="F31" s="18">
        <v>0</v>
      </c>
      <c r="G31" s="18">
        <v>0</v>
      </c>
      <c r="H31" s="18">
        <v>0</v>
      </c>
      <c r="I31" s="26"/>
      <c r="J31" s="11"/>
      <c r="K31" s="11"/>
      <c r="L31" s="27"/>
      <c r="M31" s="16"/>
    </row>
    <row r="32" spans="1:13" ht="15" customHeight="1" x14ac:dyDescent="0.2">
      <c r="A32" s="101">
        <v>25</v>
      </c>
      <c r="B32" s="24"/>
      <c r="C32" s="17"/>
      <c r="D32" s="17"/>
      <c r="E32" s="17"/>
      <c r="F32" s="18">
        <v>0</v>
      </c>
      <c r="G32" s="18">
        <v>0</v>
      </c>
      <c r="H32" s="18">
        <v>0</v>
      </c>
      <c r="I32" s="26"/>
      <c r="J32" s="11"/>
      <c r="K32" s="11"/>
      <c r="L32" s="27"/>
      <c r="M32" s="16"/>
    </row>
    <row r="33" spans="1:13" ht="15" customHeight="1" x14ac:dyDescent="0.2">
      <c r="A33" s="101">
        <v>26</v>
      </c>
      <c r="B33" s="24"/>
      <c r="C33" s="17"/>
      <c r="D33" s="17"/>
      <c r="E33" s="17"/>
      <c r="F33" s="18">
        <v>0</v>
      </c>
      <c r="G33" s="18">
        <v>0</v>
      </c>
      <c r="H33" s="18">
        <v>0</v>
      </c>
      <c r="I33" s="26"/>
      <c r="J33" s="11"/>
      <c r="K33" s="11"/>
      <c r="L33" s="27"/>
      <c r="M33" s="16"/>
    </row>
    <row r="34" spans="1:13" ht="15" customHeight="1" x14ac:dyDescent="0.2">
      <c r="A34" s="101">
        <v>27</v>
      </c>
      <c r="B34" s="24"/>
      <c r="C34" s="17"/>
      <c r="D34" s="17"/>
      <c r="E34" s="17"/>
      <c r="F34" s="18">
        <v>0</v>
      </c>
      <c r="G34" s="18">
        <v>0</v>
      </c>
      <c r="H34" s="18">
        <v>0</v>
      </c>
      <c r="I34" s="26"/>
      <c r="J34" s="11"/>
      <c r="K34" s="11"/>
      <c r="L34" s="27"/>
      <c r="M34" s="16"/>
    </row>
    <row r="35" spans="1:13" ht="15" customHeight="1" x14ac:dyDescent="0.2">
      <c r="A35" s="101">
        <v>28</v>
      </c>
      <c r="B35" s="24"/>
      <c r="C35" s="17"/>
      <c r="D35" s="17"/>
      <c r="E35" s="17"/>
      <c r="F35" s="18">
        <v>0</v>
      </c>
      <c r="G35" s="18">
        <v>0</v>
      </c>
      <c r="H35" s="18">
        <v>0</v>
      </c>
      <c r="I35" s="26"/>
      <c r="J35" s="11"/>
      <c r="K35" s="11"/>
      <c r="L35" s="27"/>
      <c r="M35" s="16"/>
    </row>
    <row r="36" spans="1:13" ht="15" customHeight="1" x14ac:dyDescent="0.2">
      <c r="A36" s="101">
        <v>29</v>
      </c>
      <c r="B36" s="24"/>
      <c r="C36" s="17"/>
      <c r="D36" s="17"/>
      <c r="E36" s="17"/>
      <c r="F36" s="18">
        <v>0</v>
      </c>
      <c r="G36" s="18">
        <v>0</v>
      </c>
      <c r="H36" s="18">
        <v>0</v>
      </c>
      <c r="I36" s="26"/>
      <c r="J36" s="11"/>
      <c r="K36" s="11"/>
      <c r="L36" s="27"/>
      <c r="M36" s="16"/>
    </row>
    <row r="37" spans="1:13" ht="15" customHeight="1" x14ac:dyDescent="0.2">
      <c r="A37" s="101">
        <v>30</v>
      </c>
      <c r="B37" s="24"/>
      <c r="C37" s="17"/>
      <c r="D37" s="17"/>
      <c r="E37" s="17"/>
      <c r="F37" s="18">
        <v>0</v>
      </c>
      <c r="G37" s="18">
        <v>0</v>
      </c>
      <c r="H37" s="18">
        <v>0</v>
      </c>
      <c r="I37" s="26"/>
      <c r="J37" s="11"/>
      <c r="K37" s="11"/>
      <c r="L37" s="27"/>
      <c r="M37" s="16"/>
    </row>
    <row r="38" spans="1:13" ht="15" customHeight="1" x14ac:dyDescent="0.2">
      <c r="A38" s="101">
        <v>31</v>
      </c>
      <c r="B38" s="24"/>
      <c r="C38" s="17"/>
      <c r="D38" s="17"/>
      <c r="E38" s="17"/>
      <c r="F38" s="18">
        <v>0</v>
      </c>
      <c r="G38" s="18">
        <v>0</v>
      </c>
      <c r="H38" s="18">
        <v>0</v>
      </c>
      <c r="I38" s="26"/>
      <c r="J38" s="11"/>
      <c r="K38" s="11"/>
      <c r="L38" s="27"/>
      <c r="M38" s="16"/>
    </row>
    <row r="40" spans="1:13" x14ac:dyDescent="0.2">
      <c r="B40" t="s">
        <v>16</v>
      </c>
      <c r="C40" s="197" t="str">
        <f>Стартовый!C40</f>
        <v>Калентеенков С. В. (с1к)</v>
      </c>
      <c r="D40" s="197"/>
      <c r="E40" s="197"/>
    </row>
    <row r="41" spans="1:13" x14ac:dyDescent="0.2">
      <c r="B41" t="s">
        <v>17</v>
      </c>
      <c r="C41" s="197" t="str">
        <f>Стартовый!C41</f>
        <v>Калентеенкова С. Н. (с1к)</v>
      </c>
      <c r="D41" s="197"/>
      <c r="E41" s="197"/>
    </row>
  </sheetData>
  <mergeCells count="8">
    <mergeCell ref="A1:I1"/>
    <mergeCell ref="C6:E6"/>
    <mergeCell ref="A2:B2"/>
    <mergeCell ref="C41:E41"/>
    <mergeCell ref="F2:I2"/>
    <mergeCell ref="A3:I3"/>
    <mergeCell ref="A4:I4"/>
    <mergeCell ref="C40:E40"/>
  </mergeCells>
  <phoneticPr fontId="5" type="noConversion"/>
  <conditionalFormatting sqref="H8:H38">
    <cfRule type="expression" dxfId="2" priority="1" stopIfTrue="1">
      <formula>G8="срыв"</formula>
    </cfRule>
  </conditionalFormatting>
  <dataValidations count="1">
    <dataValidation type="list" allowBlank="1" showInputMessage="1" showErrorMessage="1" errorTitle="Неправильный разряд" error="Вы ввели неправильный разряд. Можно вводить только те разряды, которые имеются в выпадающем списке. Повторите ввод!" sqref="M8:M38">
      <formula1>"МСМК, МС, КМС, 1, 2, 3, 1 ю, 2 ю, 3 ю, б/р, зб/р,"</formula1>
    </dataValidation>
  </dataValidations>
  <pageMargins left="0.40277777777777779" right="0.40277777777777779" top="0.58333333333333337" bottom="0.40277777777777779" header="0.40277777777777779" footer="0.18055555555555555"/>
  <pageSetup paperSize="9" scale="56" fitToHeight="3" orientation="portrait" blackAndWhite="1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L41"/>
  <sheetViews>
    <sheetView showZeros="0" zoomScaleNormal="100" workbookViewId="0">
      <pane ySplit="7" topLeftCell="A8" activePane="bottomLeft" state="frozen"/>
      <selection pane="bottomLeft" activeCell="K1" sqref="K1"/>
    </sheetView>
  </sheetViews>
  <sheetFormatPr defaultRowHeight="12.75" x14ac:dyDescent="0.2"/>
  <cols>
    <col min="1" max="1" width="11.7109375" customWidth="1"/>
    <col min="2" max="2" width="23.7109375" customWidth="1"/>
    <col min="3" max="3" width="16.7109375" customWidth="1"/>
    <col min="4" max="4" width="7.7109375" customWidth="1"/>
    <col min="5" max="11" width="10.7109375" customWidth="1"/>
    <col min="12" max="12" width="13.5703125" customWidth="1"/>
  </cols>
  <sheetData>
    <row r="1" spans="1:12" ht="38.1" customHeight="1" x14ac:dyDescent="0.25">
      <c r="A1" s="201" t="str">
        <f>Квалификация!A1</f>
        <v>Спортивный фестиваль "Веселые старты"</v>
      </c>
      <c r="B1" s="201"/>
      <c r="C1" s="201"/>
      <c r="D1" s="201"/>
      <c r="E1" s="201"/>
      <c r="F1" s="201"/>
      <c r="G1" s="201"/>
      <c r="H1" s="201"/>
      <c r="I1" s="201"/>
      <c r="J1" s="13"/>
      <c r="K1" s="55"/>
      <c r="L1" s="7"/>
    </row>
    <row r="2" spans="1:12" ht="15.75" x14ac:dyDescent="0.25">
      <c r="A2" s="209" t="s">
        <v>21</v>
      </c>
      <c r="B2" s="209"/>
      <c r="C2" s="8"/>
      <c r="D2" s="8"/>
      <c r="E2" s="8"/>
      <c r="F2" s="163" t="s">
        <v>114</v>
      </c>
      <c r="G2" s="163"/>
      <c r="H2" s="163"/>
      <c r="I2" s="163"/>
      <c r="J2" s="8"/>
      <c r="K2" s="8"/>
      <c r="L2" s="7"/>
    </row>
    <row r="3" spans="1:12" ht="15.75" x14ac:dyDescent="0.25">
      <c r="A3" s="202" t="s">
        <v>30</v>
      </c>
      <c r="B3" s="202"/>
      <c r="C3" s="202"/>
      <c r="D3" s="202"/>
      <c r="E3" s="202"/>
      <c r="F3" s="202"/>
      <c r="G3" s="202"/>
      <c r="H3" s="202"/>
      <c r="I3" s="202"/>
      <c r="J3" s="7"/>
      <c r="K3" s="7"/>
      <c r="L3" s="7"/>
    </row>
    <row r="4" spans="1:12" ht="15.95" customHeight="1" x14ac:dyDescent="0.2">
      <c r="A4" s="203" t="s">
        <v>55</v>
      </c>
      <c r="B4" s="203"/>
      <c r="C4" s="203"/>
      <c r="D4" s="203"/>
      <c r="E4" s="203"/>
      <c r="F4" s="203"/>
      <c r="G4" s="203"/>
      <c r="H4" s="203"/>
      <c r="I4" s="203"/>
      <c r="J4" s="7"/>
      <c r="K4" s="7"/>
      <c r="L4" s="7"/>
    </row>
    <row r="5" spans="1:12" x14ac:dyDescent="0.2">
      <c r="A5" s="7"/>
      <c r="B5" s="7"/>
      <c r="C5" s="7"/>
      <c r="D5" s="7"/>
      <c r="E5" s="7"/>
      <c r="F5" s="7"/>
      <c r="G5" s="47"/>
      <c r="H5" s="47"/>
      <c r="I5" s="53"/>
      <c r="J5" s="7"/>
      <c r="K5" s="7"/>
      <c r="L5" s="7"/>
    </row>
    <row r="6" spans="1:12" hidden="1" x14ac:dyDescent="0.2">
      <c r="A6" s="9" t="s">
        <v>0</v>
      </c>
      <c r="B6" s="9"/>
      <c r="C6" s="183">
        <f>Стартовый!C6</f>
        <v>0</v>
      </c>
      <c r="D6" s="183"/>
      <c r="E6" s="183"/>
      <c r="F6" s="9"/>
      <c r="G6" s="7"/>
      <c r="H6" s="7"/>
      <c r="I6" s="7"/>
      <c r="J6" s="7"/>
      <c r="K6" s="7"/>
      <c r="L6" s="7"/>
    </row>
    <row r="7" spans="1:12" ht="15" customHeight="1" x14ac:dyDescent="0.2">
      <c r="A7" s="22" t="s">
        <v>19</v>
      </c>
      <c r="B7" s="22" t="s">
        <v>59</v>
      </c>
      <c r="C7" s="22" t="s">
        <v>2</v>
      </c>
      <c r="D7" s="22" t="s">
        <v>3</v>
      </c>
      <c r="E7" s="22" t="s">
        <v>4</v>
      </c>
      <c r="F7" s="22" t="s">
        <v>22</v>
      </c>
      <c r="G7" s="22" t="s">
        <v>6</v>
      </c>
      <c r="H7" s="22" t="s">
        <v>7</v>
      </c>
      <c r="I7" s="22" t="s">
        <v>9</v>
      </c>
      <c r="J7" s="22" t="s">
        <v>11</v>
      </c>
      <c r="K7" s="22" t="s">
        <v>18</v>
      </c>
      <c r="L7" s="23" t="s">
        <v>20</v>
      </c>
    </row>
    <row r="8" spans="1:12" ht="15" customHeight="1" x14ac:dyDescent="0.2">
      <c r="A8" s="98" t="s">
        <v>23</v>
      </c>
      <c r="B8" s="24"/>
      <c r="C8" s="17"/>
      <c r="D8" s="17"/>
      <c r="E8" s="17"/>
      <c r="F8" s="18">
        <f>IF(B8=0,0,VLOOKUP(B8,Квалификация!$B$8:$H$41,5,FALSE))</f>
        <v>0</v>
      </c>
      <c r="G8" s="18">
        <f>IF(B8=0,0,VLOOKUP(B8,Квалификация!$B$8:$H$41,6,FALSE))</f>
        <v>0</v>
      </c>
      <c r="H8" s="18">
        <f>IF(B8=0,0,VLOOKUP(B8,Квалификация!$B$8:$H$41,7,FALSE))</f>
        <v>0</v>
      </c>
      <c r="I8" s="18">
        <f>IF(B8=0,0,VLOOKUP(B8,Четвертьфинал!$D$8:$J$15,7,FALSE))</f>
        <v>0</v>
      </c>
      <c r="J8" s="18">
        <f>IF(B8=0,0,VLOOKUP(B8,Полуфинал!$D$8:$J$11,7,FALSE))</f>
        <v>0</v>
      </c>
      <c r="K8" s="18">
        <f>IF(B8=0,0,VLOOKUP(B8,Финал!$B$13:$H$14,7,FALSE))</f>
        <v>0</v>
      </c>
      <c r="L8" s="28"/>
    </row>
    <row r="9" spans="1:12" ht="15" customHeight="1" x14ac:dyDescent="0.2">
      <c r="A9" s="98" t="s">
        <v>24</v>
      </c>
      <c r="B9" s="24"/>
      <c r="C9" s="17"/>
      <c r="D9" s="17"/>
      <c r="E9" s="17"/>
      <c r="F9" s="18">
        <f>IF(B9=0,0,VLOOKUP(B9,Квалификация!$B$8:$H$41,5,FALSE))</f>
        <v>0</v>
      </c>
      <c r="G9" s="18">
        <f>IF(B9=0,0,VLOOKUP(B9,Квалификация!$B$8:$H$41,6,FALSE))</f>
        <v>0</v>
      </c>
      <c r="H9" s="18">
        <f>IF(B9=0,0,VLOOKUP(B9,Квалификация!$B$8:$H$41,7,FALSE))</f>
        <v>0</v>
      </c>
      <c r="I9" s="18">
        <f>IF(B9=0,0,VLOOKUP(B9,Четвертьфинал!$D$8:$J$15,7,FALSE))</f>
        <v>0</v>
      </c>
      <c r="J9" s="18">
        <f>IF(B9=0,0,VLOOKUP(B9,Полуфинал!$D$8:$J$11,7,FALSE))</f>
        <v>0</v>
      </c>
      <c r="K9" s="18">
        <f>IF(B9=0,0,VLOOKUP(B9,Финал!$B$13:$H$14,7,FALSE))</f>
        <v>0</v>
      </c>
      <c r="L9" s="28"/>
    </row>
    <row r="10" spans="1:12" ht="15" customHeight="1" x14ac:dyDescent="0.2">
      <c r="A10" s="98" t="s">
        <v>25</v>
      </c>
      <c r="B10" s="24"/>
      <c r="C10" s="17"/>
      <c r="D10" s="17"/>
      <c r="E10" s="17"/>
      <c r="F10" s="18">
        <f>IF(B10=0,0,VLOOKUP(B10,Квалификация!$B$8:$H$41,5,FALSE))</f>
        <v>0</v>
      </c>
      <c r="G10" s="18">
        <f>IF(B10=0,0,VLOOKUP(B10,Квалификация!$B$8:$H$41,6,FALSE))</f>
        <v>0</v>
      </c>
      <c r="H10" s="18">
        <f>IF(B10=0,0,VLOOKUP(B10,Квалификация!$B$8:$H$41,7,FALSE))</f>
        <v>0</v>
      </c>
      <c r="I10" s="18">
        <f>IF(B10=0,0,VLOOKUP(B10,Четвертьфинал!$D$8:$J$15,7,FALSE))</f>
        <v>0</v>
      </c>
      <c r="J10" s="18">
        <f>IF(B10=0,0,VLOOKUP(B10,Полуфинал!$D$8:$J$11,7,FALSE))</f>
        <v>0</v>
      </c>
      <c r="K10" s="18">
        <f>IF(B10=0,0,VLOOKUP(B10,Финал!$B$9:$H$10,7,FALSE))</f>
        <v>0</v>
      </c>
      <c r="L10" s="28"/>
    </row>
    <row r="11" spans="1:12" ht="15" customHeight="1" thickBot="1" x14ac:dyDescent="0.25">
      <c r="A11" s="99">
        <v>4</v>
      </c>
      <c r="B11" s="39"/>
      <c r="C11" s="38"/>
      <c r="D11" s="38"/>
      <c r="E11" s="38"/>
      <c r="F11" s="40">
        <f>IF(B11=0,0,VLOOKUP(B11,Квалификация!$B$8:$H$41,5,FALSE))</f>
        <v>0</v>
      </c>
      <c r="G11" s="40">
        <f>IF(B11=0,0,VLOOKUP(B11,Квалификация!$B$8:$H$41,6,FALSE))</f>
        <v>0</v>
      </c>
      <c r="H11" s="40">
        <f>IF(B11=0,0,VLOOKUP(B11,Квалификация!$B$8:$H$41,7,FALSE))</f>
        <v>0</v>
      </c>
      <c r="I11" s="40">
        <f>IF(B11=0,0,VLOOKUP(B11,Четвертьфинал!$D$8:$J$15,7,FALSE))</f>
        <v>0</v>
      </c>
      <c r="J11" s="40">
        <f>IF(B11=0,0,VLOOKUP(B11,Полуфинал!$D$8:$J$11,7,FALSE))</f>
        <v>0</v>
      </c>
      <c r="K11" s="40">
        <f>IF(B11=0,0,VLOOKUP(B11,Финал!$B$9:$H$10,7,FALSE))</f>
        <v>0</v>
      </c>
      <c r="L11" s="41"/>
    </row>
    <row r="12" spans="1:12" ht="15" customHeight="1" x14ac:dyDescent="0.2">
      <c r="A12" s="100">
        <v>5</v>
      </c>
      <c r="B12" s="33"/>
      <c r="C12" s="30"/>
      <c r="D12" s="30"/>
      <c r="E12" s="30"/>
      <c r="F12" s="34">
        <f>IF(B12=0,0,VLOOKUP(B12,Квалификация!$B$8:$H$41,5,FALSE))</f>
        <v>0</v>
      </c>
      <c r="G12" s="34">
        <f>IF(B12=0,0,VLOOKUP(B12,Квалификация!$B$8:$H$41,6,FALSE))</f>
        <v>0</v>
      </c>
      <c r="H12" s="34">
        <f>IF(B12=0,0,VLOOKUP(B12,Квалификация!$B$8:$H$41,7,FALSE))</f>
        <v>0</v>
      </c>
      <c r="I12" s="34">
        <f>IF(B12=0,0,VLOOKUP(B12,Четвертьфинал!$D$8:$J$15,7,FALSE))</f>
        <v>0</v>
      </c>
      <c r="J12" s="26"/>
      <c r="K12" s="27"/>
      <c r="L12" s="37"/>
    </row>
    <row r="13" spans="1:12" ht="15" customHeight="1" x14ac:dyDescent="0.2">
      <c r="A13" s="101">
        <v>6</v>
      </c>
      <c r="B13" s="24"/>
      <c r="C13" s="17"/>
      <c r="D13" s="17"/>
      <c r="E13" s="17"/>
      <c r="F13" s="18">
        <f>IF(B13=0,0,VLOOKUP(B13,Квалификация!$B$8:$H$41,5,FALSE))</f>
        <v>0</v>
      </c>
      <c r="G13" s="18">
        <f>IF(B13=0,0,VLOOKUP(B13,Квалификация!$B$8:$H$41,6,FALSE))</f>
        <v>0</v>
      </c>
      <c r="H13" s="18">
        <f>IF(B13=0,0,VLOOKUP(B13,Квалификация!$B$8:$H$41,7,FALSE))</f>
        <v>0</v>
      </c>
      <c r="I13" s="18">
        <f>IF(B13=0,0,VLOOKUP(B13,Четвертьфинал!$D$8:$J$15,7,FALSE))</f>
        <v>0</v>
      </c>
      <c r="J13" s="26"/>
      <c r="K13" s="27"/>
      <c r="L13" s="28"/>
    </row>
    <row r="14" spans="1:12" ht="15" customHeight="1" x14ac:dyDescent="0.2">
      <c r="A14" s="101">
        <v>7</v>
      </c>
      <c r="B14" s="24"/>
      <c r="C14" s="17"/>
      <c r="D14" s="17"/>
      <c r="E14" s="17"/>
      <c r="F14" s="18">
        <f>IF(B14=0,0,VLOOKUP(B14,Квалификация!$B$8:$H$41,5,FALSE))</f>
        <v>0</v>
      </c>
      <c r="G14" s="18">
        <f>IF(B14=0,0,VLOOKUP(B14,Квалификация!$B$8:$H$41,6,FALSE))</f>
        <v>0</v>
      </c>
      <c r="H14" s="18">
        <f>IF(B14=0,0,VLOOKUP(B14,Квалификация!$B$8:$H$41,7,FALSE))</f>
        <v>0</v>
      </c>
      <c r="I14" s="18">
        <f>IF(B14=0,0,VLOOKUP(B14,Четвертьфинал!$D$8:$J$15,7,FALSE))</f>
        <v>0</v>
      </c>
      <c r="J14" s="26"/>
      <c r="K14" s="27"/>
      <c r="L14" s="28"/>
    </row>
    <row r="15" spans="1:12" ht="15" customHeight="1" thickBot="1" x14ac:dyDescent="0.25">
      <c r="A15" s="99">
        <v>8</v>
      </c>
      <c r="B15" s="39"/>
      <c r="C15" s="38"/>
      <c r="D15" s="38"/>
      <c r="E15" s="38"/>
      <c r="F15" s="40">
        <f>IF(B15=0,0,VLOOKUP(B15,Квалификация!$B$8:$H$41,5,FALSE))</f>
        <v>0</v>
      </c>
      <c r="G15" s="40">
        <f>IF(B15=0,0,VLOOKUP(B15,Квалификация!$B$8:$H$41,6,FALSE))</f>
        <v>0</v>
      </c>
      <c r="H15" s="40">
        <f>IF(B15=0,0,VLOOKUP(B15,Квалификация!$B$8:$H$41,7,FALSE))</f>
        <v>0</v>
      </c>
      <c r="I15" s="40">
        <f>IF(B15=0,0,VLOOKUP(B15,Четвертьфинал!$D$8:$J$15,7,FALSE))</f>
        <v>0</v>
      </c>
      <c r="J15" s="26"/>
      <c r="K15" s="27"/>
      <c r="L15" s="41"/>
    </row>
    <row r="16" spans="1:12" ht="15" customHeight="1" x14ac:dyDescent="0.2">
      <c r="A16" s="102">
        <v>9</v>
      </c>
      <c r="B16" s="33"/>
      <c r="C16" s="30"/>
      <c r="D16" s="30"/>
      <c r="E16" s="30"/>
      <c r="F16" s="34"/>
      <c r="G16" s="34"/>
      <c r="H16" s="35"/>
      <c r="I16" s="26"/>
      <c r="J16" s="11"/>
      <c r="K16" s="11"/>
      <c r="L16" s="36"/>
    </row>
    <row r="17" spans="1:12" ht="15" customHeight="1" x14ac:dyDescent="0.2">
      <c r="A17" s="101">
        <v>10</v>
      </c>
      <c r="B17" s="24"/>
      <c r="C17" s="17"/>
      <c r="D17" s="17"/>
      <c r="E17" s="17"/>
      <c r="F17" s="18"/>
      <c r="G17" s="18"/>
      <c r="H17" s="25"/>
      <c r="I17" s="26"/>
      <c r="J17" s="11"/>
      <c r="K17" s="11"/>
      <c r="L17" s="16"/>
    </row>
    <row r="18" spans="1:12" ht="15" customHeight="1" x14ac:dyDescent="0.2">
      <c r="A18" s="100">
        <v>11</v>
      </c>
      <c r="B18" s="24"/>
      <c r="C18" s="17"/>
      <c r="D18" s="17"/>
      <c r="E18" s="17"/>
      <c r="F18" s="18"/>
      <c r="G18" s="18"/>
      <c r="H18" s="25"/>
      <c r="I18" s="26"/>
      <c r="J18" s="11"/>
      <c r="K18" s="11"/>
      <c r="L18" s="16"/>
    </row>
    <row r="19" spans="1:12" ht="15" customHeight="1" x14ac:dyDescent="0.2">
      <c r="A19" s="101">
        <v>12</v>
      </c>
      <c r="B19" s="24"/>
      <c r="C19" s="17"/>
      <c r="D19" s="17"/>
      <c r="E19" s="17"/>
      <c r="F19" s="18"/>
      <c r="G19" s="18"/>
      <c r="H19" s="25"/>
      <c r="I19" s="26"/>
      <c r="J19" s="11"/>
      <c r="K19" s="11"/>
      <c r="L19" s="16"/>
    </row>
    <row r="20" spans="1:12" ht="15" customHeight="1" x14ac:dyDescent="0.2">
      <c r="A20" s="100">
        <v>13</v>
      </c>
      <c r="B20" s="24"/>
      <c r="C20" s="17"/>
      <c r="D20" s="17"/>
      <c r="E20" s="17"/>
      <c r="F20" s="18"/>
      <c r="G20" s="18"/>
      <c r="H20" s="25"/>
      <c r="I20" s="26"/>
      <c r="J20" s="11"/>
      <c r="K20" s="11"/>
      <c r="L20" s="16"/>
    </row>
    <row r="21" spans="1:12" ht="15" customHeight="1" x14ac:dyDescent="0.2">
      <c r="A21" s="101">
        <v>14</v>
      </c>
      <c r="B21" s="24"/>
      <c r="C21" s="17"/>
      <c r="D21" s="17"/>
      <c r="E21" s="17"/>
      <c r="F21" s="18"/>
      <c r="G21" s="18"/>
      <c r="H21" s="25"/>
      <c r="I21" s="26"/>
      <c r="J21" s="11"/>
      <c r="K21" s="11"/>
      <c r="L21" s="16"/>
    </row>
    <row r="22" spans="1:12" ht="15" customHeight="1" x14ac:dyDescent="0.2">
      <c r="A22" s="100">
        <v>15</v>
      </c>
      <c r="B22" s="24"/>
      <c r="C22" s="17"/>
      <c r="D22" s="17"/>
      <c r="E22" s="17"/>
      <c r="F22" s="18"/>
      <c r="G22" s="18"/>
      <c r="H22" s="25"/>
      <c r="I22" s="26"/>
      <c r="J22" s="11"/>
      <c r="K22" s="11"/>
      <c r="L22" s="16"/>
    </row>
    <row r="23" spans="1:12" ht="15" customHeight="1" x14ac:dyDescent="0.2">
      <c r="A23" s="101">
        <v>16</v>
      </c>
      <c r="B23" s="24"/>
      <c r="C23" s="17"/>
      <c r="D23" s="17"/>
      <c r="E23" s="17"/>
      <c r="F23" s="18"/>
      <c r="G23" s="18"/>
      <c r="H23" s="25"/>
      <c r="I23" s="26"/>
      <c r="J23" s="11"/>
      <c r="K23" s="11"/>
      <c r="L23" s="16"/>
    </row>
    <row r="24" spans="1:12" ht="15" customHeight="1" x14ac:dyDescent="0.2">
      <c r="A24" s="100">
        <v>17</v>
      </c>
      <c r="B24" s="24"/>
      <c r="C24" s="17"/>
      <c r="D24" s="17"/>
      <c r="E24" s="17"/>
      <c r="F24" s="18"/>
      <c r="G24" s="18"/>
      <c r="H24" s="25"/>
      <c r="I24" s="26"/>
      <c r="J24" s="11"/>
      <c r="K24" s="11"/>
      <c r="L24" s="16"/>
    </row>
    <row r="25" spans="1:12" ht="15" customHeight="1" x14ac:dyDescent="0.2">
      <c r="A25" s="101">
        <v>18</v>
      </c>
      <c r="B25" s="24"/>
      <c r="C25" s="17"/>
      <c r="D25" s="17"/>
      <c r="E25" s="17"/>
      <c r="F25" s="18"/>
      <c r="G25" s="18"/>
      <c r="H25" s="25"/>
      <c r="I25" s="26"/>
      <c r="J25" s="11"/>
      <c r="K25" s="11"/>
      <c r="L25" s="16"/>
    </row>
    <row r="26" spans="1:12" ht="15" customHeight="1" x14ac:dyDescent="0.2">
      <c r="A26" s="100">
        <v>19</v>
      </c>
      <c r="B26" s="24"/>
      <c r="C26" s="17"/>
      <c r="D26" s="17"/>
      <c r="E26" s="17"/>
      <c r="F26" s="18"/>
      <c r="G26" s="18"/>
      <c r="H26" s="25"/>
      <c r="I26" s="26"/>
      <c r="J26" s="11"/>
      <c r="K26" s="11"/>
      <c r="L26" s="16"/>
    </row>
    <row r="27" spans="1:12" ht="15" customHeight="1" x14ac:dyDescent="0.2">
      <c r="A27" s="101">
        <v>20</v>
      </c>
      <c r="B27" s="24"/>
      <c r="C27" s="17"/>
      <c r="D27" s="17"/>
      <c r="E27" s="17"/>
      <c r="F27" s="18"/>
      <c r="G27" s="18"/>
      <c r="H27" s="25"/>
      <c r="I27" s="26"/>
      <c r="J27" s="11"/>
      <c r="K27" s="11"/>
      <c r="L27" s="16"/>
    </row>
    <row r="28" spans="1:12" ht="15" customHeight="1" x14ac:dyDescent="0.2">
      <c r="A28" s="100">
        <v>21</v>
      </c>
      <c r="B28" s="24"/>
      <c r="C28" s="17"/>
      <c r="D28" s="17"/>
      <c r="E28" s="17"/>
      <c r="F28" s="18"/>
      <c r="G28" s="18"/>
      <c r="H28" s="25"/>
      <c r="I28" s="26"/>
      <c r="J28" s="11"/>
      <c r="K28" s="11"/>
      <c r="L28" s="16"/>
    </row>
    <row r="29" spans="1:12" ht="15" customHeight="1" x14ac:dyDescent="0.2">
      <c r="A29" s="101">
        <v>22</v>
      </c>
      <c r="B29" s="24"/>
      <c r="C29" s="17"/>
      <c r="D29" s="17"/>
      <c r="E29" s="17"/>
      <c r="F29" s="18"/>
      <c r="G29" s="18"/>
      <c r="H29" s="25"/>
      <c r="I29" s="26"/>
      <c r="J29" s="11"/>
      <c r="K29" s="11"/>
      <c r="L29" s="16"/>
    </row>
    <row r="30" spans="1:12" ht="15" customHeight="1" x14ac:dyDescent="0.2">
      <c r="A30" s="100">
        <v>23</v>
      </c>
      <c r="B30" s="24"/>
      <c r="C30" s="17"/>
      <c r="D30" s="17"/>
      <c r="E30" s="17"/>
      <c r="F30" s="18"/>
      <c r="G30" s="18"/>
      <c r="H30" s="25"/>
      <c r="I30" s="26"/>
      <c r="J30" s="11"/>
      <c r="K30" s="11"/>
      <c r="L30" s="16"/>
    </row>
    <row r="31" spans="1:12" ht="15" customHeight="1" x14ac:dyDescent="0.2">
      <c r="A31" s="101">
        <v>24</v>
      </c>
      <c r="B31" s="24"/>
      <c r="C31" s="17"/>
      <c r="D31" s="17"/>
      <c r="E31" s="17"/>
      <c r="F31" s="18"/>
      <c r="G31" s="18"/>
      <c r="H31" s="25"/>
      <c r="I31" s="26"/>
      <c r="J31" s="11"/>
      <c r="K31" s="11"/>
      <c r="L31" s="16"/>
    </row>
    <row r="32" spans="1:12" ht="15" customHeight="1" x14ac:dyDescent="0.2">
      <c r="A32" s="100">
        <v>25</v>
      </c>
      <c r="B32" s="24"/>
      <c r="C32" s="17"/>
      <c r="D32" s="17"/>
      <c r="E32" s="17"/>
      <c r="F32" s="18"/>
      <c r="G32" s="18"/>
      <c r="H32" s="25"/>
      <c r="I32" s="26"/>
      <c r="J32" s="11"/>
      <c r="K32" s="11"/>
      <c r="L32" s="16"/>
    </row>
    <row r="33" spans="1:12" ht="15" customHeight="1" x14ac:dyDescent="0.2">
      <c r="A33" s="101">
        <v>26</v>
      </c>
      <c r="B33" s="24"/>
      <c r="C33" s="17"/>
      <c r="D33" s="17"/>
      <c r="E33" s="17"/>
      <c r="F33" s="18"/>
      <c r="G33" s="18"/>
      <c r="H33" s="25"/>
      <c r="I33" s="26"/>
      <c r="J33" s="11"/>
      <c r="K33" s="11"/>
      <c r="L33" s="16"/>
    </row>
    <row r="34" spans="1:12" ht="15" customHeight="1" x14ac:dyDescent="0.2">
      <c r="A34" s="100">
        <v>27</v>
      </c>
      <c r="B34" s="24"/>
      <c r="C34" s="17"/>
      <c r="D34" s="17"/>
      <c r="E34" s="17"/>
      <c r="F34" s="18"/>
      <c r="G34" s="18"/>
      <c r="H34" s="25"/>
      <c r="I34" s="26"/>
      <c r="J34" s="11"/>
      <c r="K34" s="11"/>
      <c r="L34" s="16"/>
    </row>
    <row r="35" spans="1:12" ht="15" customHeight="1" x14ac:dyDescent="0.2">
      <c r="A35" s="101">
        <v>28</v>
      </c>
      <c r="B35" s="24"/>
      <c r="C35" s="17"/>
      <c r="D35" s="17"/>
      <c r="E35" s="17"/>
      <c r="F35" s="18"/>
      <c r="G35" s="18"/>
      <c r="H35" s="25"/>
      <c r="I35" s="26"/>
      <c r="J35" s="11"/>
      <c r="K35" s="11"/>
      <c r="L35" s="16"/>
    </row>
    <row r="36" spans="1:12" ht="15" customHeight="1" x14ac:dyDescent="0.2">
      <c r="A36" s="100">
        <v>29</v>
      </c>
      <c r="B36" s="24"/>
      <c r="C36" s="17"/>
      <c r="D36" s="17"/>
      <c r="E36" s="17"/>
      <c r="F36" s="18"/>
      <c r="G36" s="18"/>
      <c r="H36" s="25"/>
      <c r="I36" s="26"/>
      <c r="J36" s="11"/>
      <c r="K36" s="11"/>
      <c r="L36" s="16"/>
    </row>
    <row r="37" spans="1:12" ht="15" customHeight="1" x14ac:dyDescent="0.2">
      <c r="A37" s="101">
        <v>30</v>
      </c>
      <c r="B37" s="24"/>
      <c r="C37" s="17"/>
      <c r="D37" s="17"/>
      <c r="E37" s="17"/>
      <c r="F37" s="18"/>
      <c r="G37" s="18"/>
      <c r="H37" s="25"/>
      <c r="I37" s="26"/>
      <c r="J37" s="11"/>
      <c r="K37" s="11"/>
      <c r="L37" s="16"/>
    </row>
    <row r="38" spans="1:12" ht="15" customHeight="1" x14ac:dyDescent="0.2">
      <c r="A38" s="100">
        <v>31</v>
      </c>
      <c r="B38" s="24"/>
      <c r="C38" s="17"/>
      <c r="D38" s="17"/>
      <c r="E38" s="17"/>
      <c r="F38" s="18"/>
      <c r="G38" s="18"/>
      <c r="H38" s="25"/>
      <c r="I38" s="26"/>
      <c r="J38" s="11"/>
      <c r="K38" s="11"/>
      <c r="L38" s="16"/>
    </row>
    <row r="39" spans="1:12" ht="12.75" customHeight="1" x14ac:dyDescent="0.2"/>
    <row r="40" spans="1:12" ht="12.75" customHeight="1" x14ac:dyDescent="0.2">
      <c r="B40" t="s">
        <v>16</v>
      </c>
      <c r="C40" s="197" t="str">
        <f>Стартовый!C40</f>
        <v>Калентеенков С. В. (с1к)</v>
      </c>
      <c r="D40" s="197"/>
      <c r="E40" s="197"/>
    </row>
    <row r="41" spans="1:12" ht="12.75" customHeight="1" x14ac:dyDescent="0.2">
      <c r="B41" t="s">
        <v>17</v>
      </c>
      <c r="C41" s="197" t="str">
        <f>Стартовый!C41</f>
        <v>Калентеенкова С. Н. (с1к)</v>
      </c>
      <c r="D41" s="197"/>
      <c r="E41" s="197"/>
    </row>
  </sheetData>
  <mergeCells count="8">
    <mergeCell ref="A1:I1"/>
    <mergeCell ref="C6:E6"/>
    <mergeCell ref="C40:E40"/>
    <mergeCell ref="C41:E41"/>
    <mergeCell ref="A2:B2"/>
    <mergeCell ref="F2:I2"/>
    <mergeCell ref="A3:I3"/>
    <mergeCell ref="A4:I4"/>
  </mergeCells>
  <phoneticPr fontId="5" type="noConversion"/>
  <conditionalFormatting sqref="H8:H38">
    <cfRule type="expression" dxfId="1" priority="1" stopIfTrue="1">
      <formula>G8="срыв"</formula>
    </cfRule>
  </conditionalFormatting>
  <dataValidations count="1">
    <dataValidation type="list" allowBlank="1" showInputMessage="1" showErrorMessage="1" errorTitle="Неправильный разряд" error="Вы ввели неправильный разряд. Можно вводить только те разряды, которые имеются в выпадающем списке. Повторите ввод!" sqref="L8:L38">
      <formula1>"МСМК, МС, КМС, 1, 2, 3, 1 ю, 2 ю, 3 ю, б/р, зб/р,"</formula1>
    </dataValidation>
  </dataValidations>
  <printOptions horizontalCentered="1"/>
  <pageMargins left="0.75" right="0.75" top="1" bottom="1" header="0.5" footer="0.5"/>
  <pageSetup paperSize="9" scale="80" orientation="portrait" blackAndWhite="1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K41"/>
  <sheetViews>
    <sheetView showZeros="0" workbookViewId="0">
      <selection activeCell="H10" sqref="H10"/>
    </sheetView>
  </sheetViews>
  <sheetFormatPr defaultRowHeight="12.75" x14ac:dyDescent="0.2"/>
  <cols>
    <col min="1" max="1" width="11.7109375" customWidth="1"/>
    <col min="2" max="2" width="23.7109375" customWidth="1"/>
    <col min="3" max="3" width="16.7109375" customWidth="1"/>
    <col min="4" max="4" width="7.7109375" customWidth="1"/>
    <col min="5" max="10" width="10.7109375" customWidth="1"/>
    <col min="11" max="11" width="13.5703125" customWidth="1"/>
  </cols>
  <sheetData>
    <row r="1" spans="1:11" ht="38.1" customHeight="1" x14ac:dyDescent="0.2">
      <c r="A1" s="201" t="str">
        <f>Квалификация!A1</f>
        <v>Спортивный фестиваль "Веселые старты"</v>
      </c>
      <c r="B1" s="201"/>
      <c r="C1" s="201"/>
      <c r="D1" s="201"/>
      <c r="E1" s="201"/>
      <c r="F1" s="201"/>
      <c r="G1" s="201"/>
      <c r="H1" s="201"/>
      <c r="I1" s="201"/>
      <c r="J1" s="55"/>
      <c r="K1" s="7"/>
    </row>
    <row r="2" spans="1:11" ht="15.75" x14ac:dyDescent="0.25">
      <c r="A2" s="209" t="s">
        <v>21</v>
      </c>
      <c r="B2" s="209"/>
      <c r="C2" s="8"/>
      <c r="D2" s="8"/>
      <c r="E2" s="8"/>
      <c r="F2" s="163" t="s">
        <v>114</v>
      </c>
      <c r="G2" s="163"/>
      <c r="H2" s="163"/>
      <c r="I2" s="163"/>
      <c r="J2" s="8"/>
      <c r="K2" s="7"/>
    </row>
    <row r="3" spans="1:11" ht="15.75" x14ac:dyDescent="0.25">
      <c r="A3" s="202" t="s">
        <v>30</v>
      </c>
      <c r="B3" s="202"/>
      <c r="C3" s="202"/>
      <c r="D3" s="202"/>
      <c r="E3" s="202"/>
      <c r="F3" s="202"/>
      <c r="G3" s="202"/>
      <c r="H3" s="202"/>
      <c r="I3" s="202"/>
      <c r="J3" s="7"/>
      <c r="K3" s="7"/>
    </row>
    <row r="4" spans="1:11" ht="15.95" customHeight="1" x14ac:dyDescent="0.2">
      <c r="A4" s="203" t="s">
        <v>55</v>
      </c>
      <c r="B4" s="203"/>
      <c r="C4" s="203"/>
      <c r="D4" s="203"/>
      <c r="E4" s="203"/>
      <c r="F4" s="203"/>
      <c r="G4" s="203"/>
      <c r="H4" s="203"/>
      <c r="I4" s="203"/>
      <c r="J4" s="7"/>
      <c r="K4" s="7"/>
    </row>
    <row r="5" spans="1:11" x14ac:dyDescent="0.2">
      <c r="A5" s="7"/>
      <c r="B5" s="7"/>
      <c r="C5" s="7"/>
      <c r="D5" s="7"/>
      <c r="E5" s="7"/>
      <c r="F5" s="7"/>
      <c r="G5" s="47"/>
      <c r="H5" s="47"/>
      <c r="I5" s="7"/>
      <c r="J5" s="7"/>
      <c r="K5" s="7"/>
    </row>
    <row r="6" spans="1:11" hidden="1" x14ac:dyDescent="0.2">
      <c r="A6" s="9" t="s">
        <v>0</v>
      </c>
      <c r="B6" s="9"/>
      <c r="C6" s="183">
        <f>Стартовый!C6</f>
        <v>0</v>
      </c>
      <c r="D6" s="183"/>
      <c r="E6" s="183"/>
      <c r="F6" s="9"/>
      <c r="G6" s="7"/>
      <c r="H6" s="7"/>
      <c r="I6" s="7"/>
      <c r="J6" s="7"/>
      <c r="K6" s="7"/>
    </row>
    <row r="7" spans="1:11" ht="28.5" customHeight="1" x14ac:dyDescent="0.2">
      <c r="A7" s="22" t="s">
        <v>19</v>
      </c>
      <c r="B7" s="22" t="s">
        <v>59</v>
      </c>
      <c r="C7" s="22" t="s">
        <v>2</v>
      </c>
      <c r="D7" s="22" t="s">
        <v>3</v>
      </c>
      <c r="E7" s="22" t="s">
        <v>4</v>
      </c>
      <c r="F7" s="22" t="s">
        <v>22</v>
      </c>
      <c r="G7" s="22" t="s">
        <v>6</v>
      </c>
      <c r="H7" s="22" t="s">
        <v>7</v>
      </c>
      <c r="I7" s="22" t="s">
        <v>11</v>
      </c>
      <c r="J7" s="22" t="s">
        <v>18</v>
      </c>
      <c r="K7" s="23" t="s">
        <v>20</v>
      </c>
    </row>
    <row r="8" spans="1:11" ht="15" customHeight="1" x14ac:dyDescent="0.2">
      <c r="A8" s="98" t="s">
        <v>23</v>
      </c>
      <c r="B8" s="24"/>
      <c r="C8" s="17"/>
      <c r="D8" s="17"/>
      <c r="E8" s="17"/>
      <c r="F8" s="18">
        <f>IF(B8=0,0,VLOOKUP(B8,Квалификация!$B$8:$H$41,5,FALSE))</f>
        <v>0</v>
      </c>
      <c r="G8" s="18">
        <f>IF(B8=0,0,VLOOKUP(B8,Квалификация!$B$8:$H$41,6,FALSE))</f>
        <v>0</v>
      </c>
      <c r="H8" s="18">
        <f>IF(B8=0,0,VLOOKUP(B8,Квалификация!$B$8:$H$41,7,FALSE))</f>
        <v>0</v>
      </c>
      <c r="I8" s="18">
        <f>IF(B8=0,0,VLOOKUP(B8,Полуфинал!$D$8:$J$11,7,FALSE))</f>
        <v>0</v>
      </c>
      <c r="J8" s="18">
        <f>IF(B8=0,0,VLOOKUP(B8,Финал!$B$13:$H$14,7,FALSE))</f>
        <v>0</v>
      </c>
      <c r="K8" s="28"/>
    </row>
    <row r="9" spans="1:11" ht="15" customHeight="1" x14ac:dyDescent="0.2">
      <c r="A9" s="98" t="s">
        <v>24</v>
      </c>
      <c r="B9" s="24"/>
      <c r="C9" s="17"/>
      <c r="D9" s="17"/>
      <c r="E9" s="17"/>
      <c r="F9" s="18">
        <f>IF(B9=0,0,VLOOKUP(B9,Квалификация!$B$8:$H$41,5,FALSE))</f>
        <v>0</v>
      </c>
      <c r="G9" s="18">
        <f>IF(B9=0,0,VLOOKUP(B9,Квалификация!$B$8:$H$41,6,FALSE))</f>
        <v>0</v>
      </c>
      <c r="H9" s="18">
        <f>IF(B9=0,0,VLOOKUP(B9,Квалификация!$B$8:$H$41,7,FALSE))</f>
        <v>0</v>
      </c>
      <c r="I9" s="18">
        <f>IF(B9=0,0,VLOOKUP(B9,Полуфинал!$D$8:$J$11,7,FALSE))</f>
        <v>0</v>
      </c>
      <c r="J9" s="18">
        <f>IF(B9=0,0,VLOOKUP(B9,Финал!$B$13:$H$14,7,FALSE))</f>
        <v>0</v>
      </c>
      <c r="K9" s="28"/>
    </row>
    <row r="10" spans="1:11" ht="15" customHeight="1" x14ac:dyDescent="0.2">
      <c r="A10" s="98" t="s">
        <v>25</v>
      </c>
      <c r="B10" s="24"/>
      <c r="C10" s="17"/>
      <c r="D10" s="17"/>
      <c r="E10" s="17"/>
      <c r="F10" s="18">
        <f>IF(B10=0,0,VLOOKUP(B10,Квалификация!$B$8:$H$41,5,FALSE))</f>
        <v>0</v>
      </c>
      <c r="G10" s="18">
        <f>IF(B10=0,0,VLOOKUP(B10,Квалификация!$B$8:$H$41,6,FALSE))</f>
        <v>0</v>
      </c>
      <c r="H10" s="18">
        <f>IF(B10=0,0,VLOOKUP(B10,Квалификация!$B$8:$H$41,7,FALSE))</f>
        <v>0</v>
      </c>
      <c r="I10" s="18">
        <f>IF(B10=0,0,VLOOKUP(B10,Полуфинал!$D$8:$J$11,7,FALSE))</f>
        <v>0</v>
      </c>
      <c r="J10" s="18">
        <f>IF(B10=0,0,VLOOKUP(B10,Финал!$B$9:$H$10,7,FALSE))</f>
        <v>0</v>
      </c>
      <c r="K10" s="28"/>
    </row>
    <row r="11" spans="1:11" ht="15" customHeight="1" thickBot="1" x14ac:dyDescent="0.25">
      <c r="A11" s="99">
        <v>4</v>
      </c>
      <c r="B11" s="39"/>
      <c r="C11" s="38"/>
      <c r="D11" s="38"/>
      <c r="E11" s="38"/>
      <c r="F11" s="40">
        <f>IF(B11=0,0,VLOOKUP(B11,Квалификация!$B$8:$H$41,5,FALSE))</f>
        <v>0</v>
      </c>
      <c r="G11" s="40">
        <f>IF(B11=0,0,VLOOKUP(B11,Квалификация!$B$8:$H$41,6,FALSE))</f>
        <v>0</v>
      </c>
      <c r="H11" s="40">
        <f>IF(B11=0,0,VLOOKUP(B11,Квалификация!$B$8:$H$41,7,FALSE))</f>
        <v>0</v>
      </c>
      <c r="I11" s="40">
        <f>IF(B11=0,0,VLOOKUP(B11,Полуфинал!$D$8:$J$11,7,FALSE))</f>
        <v>0</v>
      </c>
      <c r="J11" s="40">
        <f>IF(B11=0,0,VLOOKUP(B11,Финал!$B$9:$H$10,7,FALSE))</f>
        <v>0</v>
      </c>
      <c r="K11" s="41"/>
    </row>
    <row r="12" spans="1:11" ht="15" customHeight="1" x14ac:dyDescent="0.2">
      <c r="A12" s="100">
        <v>5</v>
      </c>
      <c r="B12" s="33"/>
      <c r="C12" s="30"/>
      <c r="D12" s="30"/>
      <c r="E12" s="30"/>
      <c r="F12" s="34">
        <v>0</v>
      </c>
      <c r="G12" s="34">
        <f>IF(F12=0,0,IF(OR(F12="срыв",H12="срыв"),"срыв",H12-F12))</f>
        <v>0</v>
      </c>
      <c r="H12" s="34">
        <v>0</v>
      </c>
      <c r="I12" s="26"/>
      <c r="J12" s="27"/>
      <c r="K12" s="37"/>
    </row>
    <row r="13" spans="1:11" ht="15" customHeight="1" x14ac:dyDescent="0.2">
      <c r="A13" s="101">
        <v>6</v>
      </c>
      <c r="B13" s="24"/>
      <c r="C13" s="17"/>
      <c r="D13" s="17"/>
      <c r="E13" s="17"/>
      <c r="F13" s="18">
        <v>0</v>
      </c>
      <c r="G13" s="18">
        <f>IF(F13=0,0,IF(OR(F13="срыв",H13="срыв"),"срыв",H13-F13))</f>
        <v>0</v>
      </c>
      <c r="H13" s="18">
        <v>0</v>
      </c>
      <c r="I13" s="26"/>
      <c r="J13" s="27"/>
      <c r="K13" s="28"/>
    </row>
    <row r="14" spans="1:11" ht="15" customHeight="1" x14ac:dyDescent="0.2">
      <c r="A14" s="101">
        <v>7</v>
      </c>
      <c r="B14" s="24"/>
      <c r="C14" s="17"/>
      <c r="D14" s="17"/>
      <c r="E14" s="17"/>
      <c r="F14" s="18">
        <v>0</v>
      </c>
      <c r="G14" s="18">
        <f>IF(F14=0,0,IF(OR(F14="срыв",H14="срыв"),"срыв",H14-F14))</f>
        <v>0</v>
      </c>
      <c r="H14" s="18">
        <v>0</v>
      </c>
      <c r="I14" s="26"/>
      <c r="J14" s="27"/>
      <c r="K14" s="28"/>
    </row>
    <row r="15" spans="1:11" ht="15" customHeight="1" x14ac:dyDescent="0.2">
      <c r="A15" s="101">
        <v>8</v>
      </c>
      <c r="B15" s="24"/>
      <c r="C15" s="17"/>
      <c r="D15" s="17"/>
      <c r="E15" s="17"/>
      <c r="F15" s="18">
        <v>0</v>
      </c>
      <c r="G15" s="18">
        <f>IF(F15=0,0,IF(OR(F15="срыв",H15="срыв"),"срыв",H15-F15))</f>
        <v>0</v>
      </c>
      <c r="H15" s="18">
        <v>0</v>
      </c>
      <c r="I15" s="26"/>
      <c r="J15" s="27"/>
      <c r="K15" s="64"/>
    </row>
    <row r="16" spans="1:11" ht="15" customHeight="1" x14ac:dyDescent="0.2">
      <c r="A16" s="101">
        <v>9</v>
      </c>
      <c r="B16" s="24"/>
      <c r="C16" s="17"/>
      <c r="D16" s="17"/>
      <c r="E16" s="17"/>
      <c r="F16" s="18"/>
      <c r="G16" s="18"/>
      <c r="H16" s="18"/>
      <c r="I16" s="11"/>
      <c r="J16" s="11"/>
      <c r="K16" s="16"/>
    </row>
    <row r="17" spans="1:11" ht="15" customHeight="1" x14ac:dyDescent="0.2">
      <c r="A17" s="101">
        <v>10</v>
      </c>
      <c r="B17" s="24"/>
      <c r="C17" s="17"/>
      <c r="D17" s="17"/>
      <c r="E17" s="17"/>
      <c r="F17" s="18"/>
      <c r="G17" s="18"/>
      <c r="H17" s="18"/>
      <c r="I17" s="11"/>
      <c r="J17" s="11"/>
      <c r="K17" s="16"/>
    </row>
    <row r="18" spans="1:11" ht="15" customHeight="1" x14ac:dyDescent="0.2">
      <c r="A18" s="100">
        <v>11</v>
      </c>
      <c r="B18" s="24"/>
      <c r="C18" s="17"/>
      <c r="D18" s="17"/>
      <c r="E18" s="17"/>
      <c r="F18" s="18"/>
      <c r="G18" s="18"/>
      <c r="H18" s="18"/>
      <c r="I18" s="11"/>
      <c r="J18" s="11"/>
      <c r="K18" s="16"/>
    </row>
    <row r="19" spans="1:11" ht="15" customHeight="1" x14ac:dyDescent="0.2">
      <c r="A19" s="101">
        <v>12</v>
      </c>
      <c r="B19" s="24"/>
      <c r="C19" s="17"/>
      <c r="D19" s="17"/>
      <c r="E19" s="17"/>
      <c r="F19" s="18"/>
      <c r="G19" s="18"/>
      <c r="H19" s="18"/>
      <c r="I19" s="11"/>
      <c r="J19" s="11"/>
      <c r="K19" s="16"/>
    </row>
    <row r="20" spans="1:11" ht="15" customHeight="1" x14ac:dyDescent="0.2">
      <c r="A20" s="100">
        <v>13</v>
      </c>
      <c r="B20" s="24"/>
      <c r="C20" s="17"/>
      <c r="D20" s="17"/>
      <c r="E20" s="17"/>
      <c r="F20" s="18"/>
      <c r="G20" s="18"/>
      <c r="H20" s="18"/>
      <c r="I20" s="11"/>
      <c r="J20" s="11"/>
      <c r="K20" s="16"/>
    </row>
    <row r="21" spans="1:11" ht="15" customHeight="1" x14ac:dyDescent="0.2">
      <c r="A21" s="101">
        <v>14</v>
      </c>
      <c r="B21" s="24"/>
      <c r="C21" s="17"/>
      <c r="D21" s="17"/>
      <c r="E21" s="17"/>
      <c r="F21" s="18"/>
      <c r="G21" s="18"/>
      <c r="H21" s="18"/>
      <c r="I21" s="11"/>
      <c r="J21" s="11"/>
      <c r="K21" s="16"/>
    </row>
    <row r="22" spans="1:11" ht="15" customHeight="1" x14ac:dyDescent="0.2">
      <c r="A22" s="100">
        <v>15</v>
      </c>
      <c r="B22" s="24"/>
      <c r="C22" s="17"/>
      <c r="D22" s="17"/>
      <c r="E22" s="17"/>
      <c r="F22" s="18"/>
      <c r="G22" s="18"/>
      <c r="H22" s="18"/>
      <c r="I22" s="11"/>
      <c r="J22" s="11"/>
      <c r="K22" s="16"/>
    </row>
    <row r="23" spans="1:11" ht="15" customHeight="1" x14ac:dyDescent="0.2">
      <c r="A23" s="101">
        <v>16</v>
      </c>
      <c r="B23" s="24"/>
      <c r="C23" s="17"/>
      <c r="D23" s="17"/>
      <c r="E23" s="17"/>
      <c r="F23" s="18"/>
      <c r="G23" s="18"/>
      <c r="H23" s="18"/>
      <c r="I23" s="11"/>
      <c r="J23" s="11"/>
      <c r="K23" s="16"/>
    </row>
    <row r="24" spans="1:11" ht="15" customHeight="1" x14ac:dyDescent="0.2">
      <c r="A24" s="100">
        <v>17</v>
      </c>
      <c r="B24" s="24"/>
      <c r="C24" s="17"/>
      <c r="D24" s="17"/>
      <c r="E24" s="17"/>
      <c r="F24" s="18"/>
      <c r="G24" s="18"/>
      <c r="H24" s="18"/>
      <c r="I24" s="11"/>
      <c r="J24" s="11"/>
      <c r="K24" s="16"/>
    </row>
    <row r="25" spans="1:11" ht="15" customHeight="1" x14ac:dyDescent="0.2">
      <c r="A25" s="101">
        <v>18</v>
      </c>
      <c r="B25" s="24"/>
      <c r="C25" s="17"/>
      <c r="D25" s="17"/>
      <c r="E25" s="17"/>
      <c r="F25" s="18"/>
      <c r="G25" s="18"/>
      <c r="H25" s="18"/>
      <c r="I25" s="11"/>
      <c r="J25" s="11"/>
      <c r="K25" s="16"/>
    </row>
    <row r="26" spans="1:11" ht="15" customHeight="1" x14ac:dyDescent="0.2">
      <c r="A26" s="100">
        <v>19</v>
      </c>
      <c r="B26" s="24"/>
      <c r="C26" s="17"/>
      <c r="D26" s="17"/>
      <c r="E26" s="17"/>
      <c r="F26" s="18"/>
      <c r="G26" s="18"/>
      <c r="H26" s="18"/>
      <c r="I26" s="11"/>
      <c r="J26" s="11"/>
      <c r="K26" s="16"/>
    </row>
    <row r="27" spans="1:11" ht="15" customHeight="1" x14ac:dyDescent="0.2">
      <c r="A27" s="101">
        <v>20</v>
      </c>
      <c r="B27" s="24"/>
      <c r="C27" s="17"/>
      <c r="D27" s="17"/>
      <c r="E27" s="17"/>
      <c r="F27" s="18"/>
      <c r="G27" s="18"/>
      <c r="H27" s="18"/>
      <c r="I27" s="11"/>
      <c r="J27" s="11"/>
      <c r="K27" s="16"/>
    </row>
    <row r="28" spans="1:11" ht="15" customHeight="1" x14ac:dyDescent="0.2">
      <c r="A28" s="100">
        <v>21</v>
      </c>
      <c r="B28" s="24"/>
      <c r="C28" s="17"/>
      <c r="D28" s="17"/>
      <c r="E28" s="17"/>
      <c r="F28" s="18"/>
      <c r="G28" s="18"/>
      <c r="H28" s="18"/>
      <c r="I28" s="11"/>
      <c r="J28" s="11"/>
      <c r="K28" s="16"/>
    </row>
    <row r="29" spans="1:11" ht="15" customHeight="1" x14ac:dyDescent="0.2">
      <c r="A29" s="101">
        <v>22</v>
      </c>
      <c r="B29" s="24"/>
      <c r="C29" s="17"/>
      <c r="D29" s="17"/>
      <c r="E29" s="17"/>
      <c r="F29" s="18"/>
      <c r="G29" s="18"/>
      <c r="H29" s="18"/>
      <c r="I29" s="11"/>
      <c r="J29" s="11"/>
      <c r="K29" s="16"/>
    </row>
    <row r="30" spans="1:11" ht="15" customHeight="1" x14ac:dyDescent="0.2">
      <c r="A30" s="100">
        <v>23</v>
      </c>
      <c r="B30" s="24"/>
      <c r="C30" s="17"/>
      <c r="D30" s="17"/>
      <c r="E30" s="17"/>
      <c r="F30" s="18"/>
      <c r="G30" s="18"/>
      <c r="H30" s="18"/>
      <c r="I30" s="11"/>
      <c r="J30" s="11"/>
      <c r="K30" s="16"/>
    </row>
    <row r="31" spans="1:11" ht="15" customHeight="1" x14ac:dyDescent="0.2">
      <c r="A31" s="101">
        <v>24</v>
      </c>
      <c r="B31" s="24"/>
      <c r="C31" s="17"/>
      <c r="D31" s="17"/>
      <c r="E31" s="17"/>
      <c r="F31" s="18"/>
      <c r="G31" s="18"/>
      <c r="H31" s="18"/>
      <c r="I31" s="11"/>
      <c r="J31" s="11"/>
      <c r="K31" s="16"/>
    </row>
    <row r="32" spans="1:11" ht="15" customHeight="1" x14ac:dyDescent="0.2">
      <c r="A32" s="100">
        <v>25</v>
      </c>
      <c r="B32" s="24"/>
      <c r="C32" s="17"/>
      <c r="D32" s="17"/>
      <c r="E32" s="17"/>
      <c r="F32" s="18"/>
      <c r="G32" s="18"/>
      <c r="H32" s="18"/>
      <c r="I32" s="11"/>
      <c r="J32" s="11"/>
      <c r="K32" s="16"/>
    </row>
    <row r="33" spans="1:11" ht="15" customHeight="1" x14ac:dyDescent="0.2">
      <c r="A33" s="101">
        <v>26</v>
      </c>
      <c r="B33" s="24"/>
      <c r="C33" s="17"/>
      <c r="D33" s="17"/>
      <c r="E33" s="17"/>
      <c r="F33" s="18"/>
      <c r="G33" s="18"/>
      <c r="H33" s="18"/>
      <c r="I33" s="11"/>
      <c r="J33" s="11"/>
      <c r="K33" s="16"/>
    </row>
    <row r="34" spans="1:11" ht="15" customHeight="1" x14ac:dyDescent="0.2">
      <c r="A34" s="100">
        <v>27</v>
      </c>
      <c r="B34" s="24"/>
      <c r="C34" s="17"/>
      <c r="D34" s="17"/>
      <c r="E34" s="17"/>
      <c r="F34" s="18"/>
      <c r="G34" s="18"/>
      <c r="H34" s="18"/>
      <c r="I34" s="11"/>
      <c r="J34" s="11"/>
      <c r="K34" s="16"/>
    </row>
    <row r="35" spans="1:11" ht="15" customHeight="1" x14ac:dyDescent="0.2">
      <c r="A35" s="101">
        <v>28</v>
      </c>
      <c r="B35" s="24"/>
      <c r="C35" s="17"/>
      <c r="D35" s="17"/>
      <c r="E35" s="17"/>
      <c r="F35" s="18"/>
      <c r="G35" s="18"/>
      <c r="H35" s="18"/>
      <c r="I35" s="11"/>
      <c r="J35" s="11"/>
      <c r="K35" s="16"/>
    </row>
    <row r="36" spans="1:11" ht="15" customHeight="1" x14ac:dyDescent="0.2">
      <c r="A36" s="100">
        <v>29</v>
      </c>
      <c r="B36" s="24"/>
      <c r="C36" s="17"/>
      <c r="D36" s="17"/>
      <c r="E36" s="17"/>
      <c r="F36" s="18"/>
      <c r="G36" s="18"/>
      <c r="H36" s="18"/>
      <c r="I36" s="11"/>
      <c r="J36" s="11"/>
      <c r="K36" s="16"/>
    </row>
    <row r="37" spans="1:11" ht="15" customHeight="1" x14ac:dyDescent="0.2">
      <c r="A37" s="101">
        <v>30</v>
      </c>
      <c r="B37" s="24"/>
      <c r="C37" s="17"/>
      <c r="D37" s="17"/>
      <c r="E37" s="17"/>
      <c r="F37" s="18"/>
      <c r="G37" s="18"/>
      <c r="H37" s="18"/>
      <c r="I37" s="11"/>
      <c r="J37" s="11"/>
      <c r="K37" s="16"/>
    </row>
    <row r="38" spans="1:11" ht="15" customHeight="1" x14ac:dyDescent="0.2">
      <c r="A38" s="100">
        <v>31</v>
      </c>
      <c r="B38" s="24"/>
      <c r="C38" s="17"/>
      <c r="D38" s="17"/>
      <c r="E38" s="17"/>
      <c r="F38" s="18"/>
      <c r="G38" s="18"/>
      <c r="H38" s="18"/>
      <c r="I38" s="11"/>
      <c r="J38" s="11"/>
      <c r="K38" s="16"/>
    </row>
    <row r="39" spans="1:11" ht="12.75" customHeight="1" x14ac:dyDescent="0.2"/>
    <row r="40" spans="1:11" ht="12.75" customHeight="1" x14ac:dyDescent="0.2">
      <c r="B40" t="s">
        <v>16</v>
      </c>
      <c r="C40" s="197" t="str">
        <f>Стартовый!C40</f>
        <v>Калентеенков С. В. (с1к)</v>
      </c>
      <c r="D40" s="197"/>
      <c r="E40" s="197"/>
    </row>
    <row r="41" spans="1:11" ht="12.75" customHeight="1" x14ac:dyDescent="0.2">
      <c r="B41" t="s">
        <v>17</v>
      </c>
      <c r="C41" s="197" t="str">
        <f>Стартовый!C41</f>
        <v>Калентеенкова С. Н. (с1к)</v>
      </c>
      <c r="D41" s="197"/>
      <c r="E41" s="197"/>
    </row>
  </sheetData>
  <mergeCells count="8">
    <mergeCell ref="C40:E40"/>
    <mergeCell ref="C41:E41"/>
    <mergeCell ref="A4:I4"/>
    <mergeCell ref="C6:E6"/>
    <mergeCell ref="A1:I1"/>
    <mergeCell ref="A2:B2"/>
    <mergeCell ref="F2:I2"/>
    <mergeCell ref="A3:I3"/>
  </mergeCells>
  <phoneticPr fontId="5" type="noConversion"/>
  <conditionalFormatting sqref="H8:H38">
    <cfRule type="expression" dxfId="0" priority="1" stopIfTrue="1">
      <formula>G8="срыв"</formula>
    </cfRule>
  </conditionalFormatting>
  <dataValidations count="1">
    <dataValidation type="list" allowBlank="1" showInputMessage="1" showErrorMessage="1" errorTitle="Неправильный разряд" error="Вы ввели неправильный разряд. Можно вводить только те разряды, которые имеются в выпадающем списке. Повторите ввод!" sqref="K8:K38">
      <formula1>"МСМК, МС, КМС, 1, 2, 3, 1 ю, 2 ю, 3 ю, б/р, зб/р,"</formula1>
    </dataValidation>
  </dataValidations>
  <pageMargins left="0.75" right="0.75" top="1" bottom="1" header="0.5" footer="0.5"/>
  <pageSetup paperSize="9" orientation="portrait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0"/>
  <dimension ref="A1:P47"/>
  <sheetViews>
    <sheetView tabSelected="1" workbookViewId="0">
      <selection activeCell="C12" sqref="C12"/>
    </sheetView>
  </sheetViews>
  <sheetFormatPr defaultRowHeight="21.95" customHeight="1" x14ac:dyDescent="0.2"/>
  <cols>
    <col min="1" max="1" width="22.7109375" bestFit="1" customWidth="1"/>
    <col min="2" max="2" width="12.7109375" bestFit="1" customWidth="1"/>
    <col min="3" max="3" width="13" customWidth="1"/>
    <col min="4" max="4" width="14.42578125" customWidth="1"/>
    <col min="5" max="5" width="20.28515625" customWidth="1"/>
    <col min="6" max="6" width="15.42578125" customWidth="1"/>
    <col min="7" max="7" width="11.7109375" customWidth="1"/>
    <col min="8" max="8" width="17.42578125" customWidth="1"/>
    <col min="9" max="9" width="14.5703125" customWidth="1"/>
    <col min="10" max="10" width="11.7109375" customWidth="1"/>
    <col min="11" max="11" width="15.7109375" customWidth="1"/>
    <col min="12" max="12" width="18.42578125" customWidth="1"/>
    <col min="13" max="13" width="11.7109375" customWidth="1"/>
    <col min="14" max="14" width="16.85546875" customWidth="1"/>
    <col min="15" max="15" width="17.7109375" customWidth="1"/>
    <col min="16" max="16" width="11.7109375" customWidth="1"/>
  </cols>
  <sheetData>
    <row r="1" spans="1:16" ht="21.95" customHeight="1" x14ac:dyDescent="0.2">
      <c r="A1" s="65" t="s">
        <v>47</v>
      </c>
      <c r="B1" s="65">
        <v>0</v>
      </c>
    </row>
    <row r="2" spans="1:16" ht="21.95" customHeight="1" x14ac:dyDescent="0.2">
      <c r="A2" s="65" t="s">
        <v>31</v>
      </c>
      <c r="B2" s="97">
        <v>1666</v>
      </c>
      <c r="C2" s="4" t="s">
        <v>56</v>
      </c>
      <c r="D2" s="4" t="s">
        <v>57</v>
      </c>
      <c r="F2" t="s">
        <v>114</v>
      </c>
    </row>
    <row r="3" spans="1:16" ht="56.25" customHeight="1" x14ac:dyDescent="0.2">
      <c r="A3" s="66" t="s">
        <v>32</v>
      </c>
      <c r="B3" s="67">
        <v>0</v>
      </c>
      <c r="C3" s="2"/>
      <c r="D3" s="2"/>
    </row>
    <row r="4" spans="1:16" ht="21.95" customHeight="1" x14ac:dyDescent="0.2">
      <c r="A4" s="217" t="s">
        <v>55</v>
      </c>
      <c r="B4" s="67" t="s">
        <v>33</v>
      </c>
      <c r="C4" s="67" t="s">
        <v>34</v>
      </c>
      <c r="D4" s="2"/>
    </row>
    <row r="5" spans="1:16" ht="21.95" customHeight="1" x14ac:dyDescent="0.2">
      <c r="A5" s="217"/>
      <c r="B5" s="68">
        <v>43468</v>
      </c>
      <c r="C5" s="68"/>
      <c r="D5" s="68"/>
    </row>
    <row r="6" spans="1:16" ht="27.75" hidden="1" customHeight="1" x14ac:dyDescent="0.2">
      <c r="A6" s="66" t="s">
        <v>35</v>
      </c>
      <c r="B6" s="67">
        <v>2009</v>
      </c>
      <c r="C6" s="2"/>
      <c r="D6" s="2"/>
    </row>
    <row r="7" spans="1:16" ht="51" x14ac:dyDescent="0.2">
      <c r="A7" s="66" t="s">
        <v>36</v>
      </c>
      <c r="B7" s="67">
        <v>0</v>
      </c>
      <c r="C7" s="2" t="s">
        <v>2</v>
      </c>
      <c r="D7" s="2"/>
    </row>
    <row r="8" spans="1:16" ht="38.25" x14ac:dyDescent="0.2">
      <c r="A8" s="66" t="s">
        <v>37</v>
      </c>
      <c r="B8" s="67">
        <v>0</v>
      </c>
      <c r="C8" s="2"/>
      <c r="D8" s="2"/>
    </row>
    <row r="9" spans="1:16" ht="38.25" x14ac:dyDescent="0.2">
      <c r="A9" s="66" t="s">
        <v>38</v>
      </c>
      <c r="B9" s="67">
        <v>0</v>
      </c>
      <c r="C9" s="2"/>
      <c r="D9" s="2"/>
    </row>
    <row r="10" spans="1:16" ht="51" x14ac:dyDescent="0.2">
      <c r="A10" s="66" t="s">
        <v>39</v>
      </c>
      <c r="B10" s="67">
        <v>0</v>
      </c>
      <c r="C10" s="2"/>
      <c r="D10" s="2"/>
    </row>
    <row r="11" spans="1:16" ht="21.95" customHeight="1" x14ac:dyDescent="0.2">
      <c r="A11" s="218" t="s">
        <v>40</v>
      </c>
      <c r="B11" s="218"/>
      <c r="C11" s="218"/>
      <c r="D11" s="2"/>
    </row>
    <row r="12" spans="1:16" ht="21.95" customHeight="1" x14ac:dyDescent="0.2">
      <c r="A12" s="67" t="s">
        <v>41</v>
      </c>
      <c r="B12" s="2"/>
      <c r="C12" s="2"/>
      <c r="D12" s="2"/>
    </row>
    <row r="13" spans="1:16" ht="21.95" customHeight="1" thickBot="1" x14ac:dyDescent="0.25">
      <c r="A13" s="65" t="s">
        <v>42</v>
      </c>
      <c r="B13" s="106">
        <v>592515383</v>
      </c>
      <c r="C13" s="65" t="str">
        <f>CONCATENATE(Hexadimical(B13),"h")</f>
        <v>23511137h</v>
      </c>
      <c r="D13" s="106">
        <v>588321027</v>
      </c>
    </row>
    <row r="14" spans="1:16" ht="25.5" customHeight="1" thickTop="1" thickBot="1" x14ac:dyDescent="0.3">
      <c r="A14" s="219" t="s">
        <v>43</v>
      </c>
      <c r="B14" s="218">
        <v>23</v>
      </c>
      <c r="C14" s="2"/>
      <c r="D14" s="145" t="s">
        <v>42</v>
      </c>
      <c r="E14" s="220" t="s">
        <v>112</v>
      </c>
      <c r="F14" s="221"/>
      <c r="G14" s="215">
        <f>G17*1+J17*2+M17*4+P17*8+G18*16+J18*32+M18*64+P18*128+G19*256+J19*512+M19*1024+P19*2048+G20*4096+J20*8192+M20*16384+P20*32768+G21*65536+J21*131072+M21*262144+P21*524288+G22*1048576+J22*2097152+M22*4194304+P22*8388608+G23*16777216+J23*33554432+M23*67108864+P23*134217728+G24*268435456+J24*536870912+M24*1073741824+P24*2147483648</f>
        <v>0</v>
      </c>
      <c r="H14" s="216"/>
    </row>
    <row r="15" spans="1:16" ht="27" customHeight="1" thickTop="1" x14ac:dyDescent="0.2">
      <c r="A15" s="219"/>
      <c r="B15" s="218"/>
      <c r="C15" s="2"/>
      <c r="D15" s="143"/>
      <c r="E15" s="152" t="s">
        <v>79</v>
      </c>
      <c r="F15" s="153" t="s">
        <v>78</v>
      </c>
      <c r="G15" s="153" t="s">
        <v>80</v>
      </c>
      <c r="H15" s="152" t="s">
        <v>79</v>
      </c>
      <c r="I15" s="122" t="s">
        <v>78</v>
      </c>
      <c r="J15" s="122" t="s">
        <v>80</v>
      </c>
      <c r="K15" s="123" t="s">
        <v>79</v>
      </c>
      <c r="L15" s="122" t="s">
        <v>78</v>
      </c>
      <c r="M15" s="122" t="s">
        <v>80</v>
      </c>
      <c r="N15" s="123" t="s">
        <v>79</v>
      </c>
      <c r="O15" s="122" t="s">
        <v>78</v>
      </c>
      <c r="P15" s="124" t="s">
        <v>80</v>
      </c>
    </row>
    <row r="16" spans="1:16" ht="39.950000000000003" customHeight="1" x14ac:dyDescent="0.2">
      <c r="A16" s="65" t="s">
        <v>44</v>
      </c>
      <c r="B16" s="65">
        <v>0</v>
      </c>
      <c r="C16" s="2"/>
      <c r="D16" s="144"/>
      <c r="E16" s="222" t="s">
        <v>68</v>
      </c>
      <c r="F16" s="223"/>
      <c r="G16" s="225"/>
      <c r="H16" s="222" t="s">
        <v>69</v>
      </c>
      <c r="I16" s="223"/>
      <c r="J16" s="225"/>
      <c r="K16" s="222" t="s">
        <v>81</v>
      </c>
      <c r="L16" s="223"/>
      <c r="M16" s="225"/>
      <c r="N16" s="222" t="s">
        <v>70</v>
      </c>
      <c r="O16" s="223"/>
      <c r="P16" s="224"/>
    </row>
    <row r="17" spans="1:16" ht="39.950000000000003" customHeight="1" x14ac:dyDescent="0.2">
      <c r="A17" t="s">
        <v>14</v>
      </c>
      <c r="B17" t="s">
        <v>61</v>
      </c>
      <c r="D17" s="133" t="s">
        <v>71</v>
      </c>
      <c r="E17" s="125" t="s">
        <v>82</v>
      </c>
      <c r="F17" s="126" t="str">
        <f>IF(IsSetBit32($B$13,0),"1 (True)","0 (False)")</f>
        <v>1 (True)</v>
      </c>
      <c r="G17" s="137"/>
      <c r="H17" s="125" t="s">
        <v>98</v>
      </c>
      <c r="I17" s="126" t="str">
        <f>IF(IsSetBit32($B$13,1),"1 (True)","0 (False)")</f>
        <v>1 (True)</v>
      </c>
      <c r="J17" s="137"/>
      <c r="K17" s="125" t="s">
        <v>105</v>
      </c>
      <c r="L17" s="126" t="str">
        <f>IF(IsSetBit32($B$13,2),"1 (True)","0 (False)")</f>
        <v>1 (True)</v>
      </c>
      <c r="M17" s="137"/>
      <c r="N17" s="127">
        <v>3</v>
      </c>
      <c r="O17" s="126"/>
      <c r="P17" s="140"/>
    </row>
    <row r="18" spans="1:16" ht="39.950000000000003" customHeight="1" x14ac:dyDescent="0.2">
      <c r="A18">
        <v>1</v>
      </c>
      <c r="B18">
        <v>100</v>
      </c>
      <c r="D18" s="134" t="s">
        <v>72</v>
      </c>
      <c r="E18" s="128" t="s">
        <v>92</v>
      </c>
      <c r="F18" s="129" t="str">
        <f>IF(IsSetBit32($B$13,4),"1 (True)","0 (False)")</f>
        <v>1 (True)</v>
      </c>
      <c r="G18" s="138"/>
      <c r="H18" s="128" t="s">
        <v>99</v>
      </c>
      <c r="I18" s="129" t="str">
        <f>IF(IsSetBit32($B$13,5),"1 (True)","0 (False)")</f>
        <v>1 (True)</v>
      </c>
      <c r="J18" s="138"/>
      <c r="K18" s="128" t="s">
        <v>106</v>
      </c>
      <c r="L18" s="129" t="str">
        <f>IF(IsSetBit32($B$13,6),"1 (True)","0 (False)")</f>
        <v>0 (False)</v>
      </c>
      <c r="M18" s="138"/>
      <c r="N18" s="128" t="s">
        <v>83</v>
      </c>
      <c r="O18" s="129" t="str">
        <f>IF(IsSetBit32($B$13,7),"1 (Нажимали кнопку Сортировка)","0 (Сортировка не производилась)")</f>
        <v>0 (Сортировка не производилась)</v>
      </c>
      <c r="P18" s="141"/>
    </row>
    <row r="19" spans="1:16" ht="39.950000000000003" customHeight="1" x14ac:dyDescent="0.2">
      <c r="A19">
        <v>2</v>
      </c>
      <c r="B19">
        <v>80</v>
      </c>
      <c r="D19" s="133" t="s">
        <v>73</v>
      </c>
      <c r="E19" s="125" t="s">
        <v>93</v>
      </c>
      <c r="F19" s="126" t="str">
        <f>IF(IsSetBit32($B$13,8),"1 (True)","0 (False)")</f>
        <v>1 (True)</v>
      </c>
      <c r="G19" s="137"/>
      <c r="H19" s="125" t="s">
        <v>101</v>
      </c>
      <c r="I19" s="126" t="str">
        <f>IF(IsSetBit32($B$13,9),"1 (True)","0 (False)")</f>
        <v>0 (False)</v>
      </c>
      <c r="J19" s="137"/>
      <c r="K19" s="125" t="s">
        <v>107</v>
      </c>
      <c r="L19" s="126" t="str">
        <f>IF(IsSetBit32($B$13,10),"1 (True)","0 (False)")</f>
        <v>0 (False)</v>
      </c>
      <c r="M19" s="137"/>
      <c r="N19" s="125" t="s">
        <v>84</v>
      </c>
      <c r="O19" s="126" t="str">
        <f>IF(IsSetBit32($B$13,11),"1 («Стартовый протокол»)","0 («Протокол результатов»)")</f>
        <v>0 («Протокол результатов»)</v>
      </c>
      <c r="P19" s="140"/>
    </row>
    <row r="20" spans="1:16" ht="39.950000000000003" customHeight="1" x14ac:dyDescent="0.2">
      <c r="A20">
        <v>3</v>
      </c>
      <c r="B20">
        <v>65</v>
      </c>
      <c r="D20" s="134" t="s">
        <v>74</v>
      </c>
      <c r="E20" s="128" t="s">
        <v>94</v>
      </c>
      <c r="F20" s="129" t="str">
        <f>IF(IsSetBit32($B$13,12),"1 (True)","0 (False)")</f>
        <v>1 (True)</v>
      </c>
      <c r="G20" s="138"/>
      <c r="H20" s="128" t="s">
        <v>100</v>
      </c>
      <c r="I20" s="129" t="str">
        <f>IF(IsSetBit32($B$13,13),"1 (True)","0 (False)")</f>
        <v>0 (False)</v>
      </c>
      <c r="J20" s="138"/>
      <c r="K20" s="128" t="s">
        <v>108</v>
      </c>
      <c r="L20" s="129" t="str">
        <f>IF(IsSetBit32($B$13,14),"1 (True)","0 (False)")</f>
        <v>0 (False)</v>
      </c>
      <c r="M20" s="138"/>
      <c r="N20" s="128" t="s">
        <v>85</v>
      </c>
      <c r="O20" s="129" t="str">
        <f>IF(IsSetBit32($B$13,15),"1 («Стартовый протокол»)","0 («Протокол результатов»)")</f>
        <v>0 («Протокол результатов»)</v>
      </c>
      <c r="P20" s="141"/>
    </row>
    <row r="21" spans="1:16" ht="39.950000000000003" customHeight="1" x14ac:dyDescent="0.2">
      <c r="A21">
        <v>4</v>
      </c>
      <c r="B21">
        <v>55</v>
      </c>
      <c r="D21" s="135" t="s">
        <v>88</v>
      </c>
      <c r="E21" s="125" t="s">
        <v>95</v>
      </c>
      <c r="F21" s="126" t="str">
        <f>IF(IsSetBit32($B$13,16),"1 (True)","0 (False)")</f>
        <v>1 (True)</v>
      </c>
      <c r="G21" s="137"/>
      <c r="H21" s="125" t="s">
        <v>102</v>
      </c>
      <c r="I21" s="126" t="str">
        <f>IF(IsSetBit32($B$13,17),"1 (True)","0 (False)")</f>
        <v>0 (False)</v>
      </c>
      <c r="J21" s="137"/>
      <c r="K21" s="125" t="s">
        <v>109</v>
      </c>
      <c r="L21" s="126" t="str">
        <f>IF(IsSetBit32($B$13,18),"1 (True)","0 (False)")</f>
        <v>0 (False)</v>
      </c>
      <c r="M21" s="137"/>
      <c r="N21" s="125" t="s">
        <v>86</v>
      </c>
      <c r="O21" s="126" t="str">
        <f>IF(IsSetBit32($B$13,19),"1 («Стартовый протокол»)","0 («Протокол результатов»)")</f>
        <v>0 («Протокол результатов»)</v>
      </c>
      <c r="P21" s="140"/>
    </row>
    <row r="22" spans="1:16" ht="39.950000000000003" customHeight="1" x14ac:dyDescent="0.2">
      <c r="A22">
        <v>5</v>
      </c>
      <c r="B22">
        <v>51</v>
      </c>
      <c r="D22" s="134" t="s">
        <v>75</v>
      </c>
      <c r="E22" s="128" t="s">
        <v>96</v>
      </c>
      <c r="F22" s="129" t="str">
        <f>IF(IsSetBit32($B$13,20),"1 (True)","0 (False)")</f>
        <v>1 (True)</v>
      </c>
      <c r="G22" s="138"/>
      <c r="H22" s="128" t="s">
        <v>103</v>
      </c>
      <c r="I22" s="129" t="str">
        <f>IF(IsSetBit32($B$13,21),"1 (True)","0 (False)")</f>
        <v>0 (False)</v>
      </c>
      <c r="J22" s="138"/>
      <c r="K22" s="128" t="s">
        <v>110</v>
      </c>
      <c r="L22" s="129" t="str">
        <f>IF(IsSetBit32($B$13,22),"1 (True)","0 (False)")</f>
        <v>1 (True)</v>
      </c>
      <c r="M22" s="138"/>
      <c r="N22" s="128" t="s">
        <v>87</v>
      </c>
      <c r="O22" s="129" t="str">
        <f>IF(IsSetBit32($B$13,23),"1 («Стартовый протокол»)","0 («Протокол результатов»)")</f>
        <v>0 («Протокол результатов»)</v>
      </c>
      <c r="P22" s="141"/>
    </row>
    <row r="23" spans="1:16" ht="39.950000000000003" customHeight="1" x14ac:dyDescent="0.2">
      <c r="A23">
        <v>6</v>
      </c>
      <c r="B23">
        <v>47</v>
      </c>
      <c r="D23" s="133" t="s">
        <v>76</v>
      </c>
      <c r="E23" s="125" t="s">
        <v>97</v>
      </c>
      <c r="F23" s="126" t="str">
        <f>IF(IsSetBit32($B$13,24),"1 (True)","0 (False)")</f>
        <v>1 (True)</v>
      </c>
      <c r="G23" s="137"/>
      <c r="H23" s="125" t="s">
        <v>104</v>
      </c>
      <c r="I23" s="126" t="str">
        <f>IF(IsSetBit32($B$13,25),"1 (True)","0 (False)")</f>
        <v>1 (True)</v>
      </c>
      <c r="J23" s="137"/>
      <c r="K23" s="125" t="s">
        <v>111</v>
      </c>
      <c r="L23" s="126" t="str">
        <f>IF(IsSetBit32($B$13,26),"1 (True)","0 (False)")</f>
        <v>0 (False)</v>
      </c>
      <c r="M23" s="137"/>
      <c r="N23" s="125">
        <v>27</v>
      </c>
      <c r="O23" s="126"/>
      <c r="P23" s="140"/>
    </row>
    <row r="24" spans="1:16" ht="78.75" customHeight="1" thickBot="1" x14ac:dyDescent="0.25">
      <c r="A24">
        <v>7</v>
      </c>
      <c r="B24">
        <v>43</v>
      </c>
      <c r="D24" s="136" t="s">
        <v>77</v>
      </c>
      <c r="E24" s="130" t="s">
        <v>91</v>
      </c>
      <c r="F24" s="131" t="str">
        <f>IF(IsSetBit32($B$13,28),"1 (кнопка Принять или Вторая квалификация уже нажимались)","0 (число участников, вышедших из квалификации еще не вводилось)")</f>
        <v>0 (число участников, вышедших из квалификации еще не вводилось)</v>
      </c>
      <c r="G24" s="139"/>
      <c r="H24" s="130" t="s">
        <v>89</v>
      </c>
      <c r="I24" s="131" t="str">
        <f>IF(IsSetBit32($B$13,29),"1 (Следить за количеством участников)","0 (Не следить за количеством участников)")</f>
        <v>1 (Следить за количеством участников)</v>
      </c>
      <c r="J24" s="139"/>
      <c r="K24" s="130" t="s">
        <v>90</v>
      </c>
      <c r="L24" s="131" t="str">
        <f>IF(IsSetBit32($B$13,30),"1 (Автоматически сохранять результаты в БД)","0 (Сохранение по нажатию кнопки Сохранить в БД)")</f>
        <v>0 (Сохранение по нажатию кнопки Сохранить в БД)</v>
      </c>
      <c r="M24" s="139"/>
      <c r="N24" s="132">
        <v>31</v>
      </c>
      <c r="O24" s="131"/>
      <c r="P24" s="142"/>
    </row>
    <row r="25" spans="1:16" ht="21.95" customHeight="1" thickTop="1" thickBot="1" x14ac:dyDescent="0.25">
      <c r="A25">
        <v>8</v>
      </c>
      <c r="B25">
        <v>40</v>
      </c>
    </row>
    <row r="26" spans="1:16" ht="21.95" customHeight="1" thickTop="1" thickBot="1" x14ac:dyDescent="0.3">
      <c r="A26">
        <v>9</v>
      </c>
      <c r="B26">
        <v>37</v>
      </c>
      <c r="D26" s="145" t="s">
        <v>44</v>
      </c>
      <c r="E26" s="220" t="s">
        <v>112</v>
      </c>
      <c r="F26" s="221"/>
      <c r="G26" s="155">
        <f>H28*1+H29*2+H30*4+H31*8+H32*16+H33*32+H34*64</f>
        <v>0</v>
      </c>
    </row>
    <row r="27" spans="1:16" ht="30" customHeight="1" thickTop="1" x14ac:dyDescent="0.2">
      <c r="A27">
        <v>10</v>
      </c>
      <c r="B27">
        <v>34</v>
      </c>
      <c r="D27" s="146"/>
      <c r="E27" s="147" t="s">
        <v>113</v>
      </c>
      <c r="F27" s="228" t="s">
        <v>78</v>
      </c>
      <c r="G27" s="229"/>
      <c r="H27" s="148" t="s">
        <v>80</v>
      </c>
    </row>
    <row r="28" spans="1:16" ht="30" customHeight="1" x14ac:dyDescent="0.2">
      <c r="A28">
        <v>11</v>
      </c>
      <c r="B28">
        <v>31</v>
      </c>
      <c r="D28" s="149" t="str">
        <f>GetSheetNameByIndex(1)</f>
        <v>Стартовый</v>
      </c>
      <c r="E28" s="125">
        <v>0</v>
      </c>
      <c r="F28" s="227" t="str">
        <f>IF(IsSetBit32($B$16,0),"1 (кнопка перехода уже нажималась и теперь заблокирована)","0 (кнопка перехода еще ни разу не нажималась)")</f>
        <v>0 (кнопка перехода еще ни разу не нажималась)</v>
      </c>
      <c r="G28" s="227"/>
      <c r="H28" s="140"/>
    </row>
    <row r="29" spans="1:16" ht="30" customHeight="1" x14ac:dyDescent="0.2">
      <c r="A29">
        <v>12</v>
      </c>
      <c r="B29">
        <v>28</v>
      </c>
      <c r="D29" s="149" t="str">
        <f>GetSheetNameByIndex(2)</f>
        <v>Квалификация</v>
      </c>
      <c r="E29" s="128">
        <v>1</v>
      </c>
      <c r="F29" s="226" t="str">
        <f>IF(IsSetBit32($B$16,0),"1 (кнопка перехода уже нажималась и теперь заблокирована)","0 (кнопка перехода еще ни разу не нажималась)")</f>
        <v>0 (кнопка перехода еще ни разу не нажималась)</v>
      </c>
      <c r="G29" s="226"/>
      <c r="H29" s="141"/>
    </row>
    <row r="30" spans="1:16" ht="30" customHeight="1" x14ac:dyDescent="0.2">
      <c r="A30">
        <v>13</v>
      </c>
      <c r="B30">
        <v>26</v>
      </c>
      <c r="D30" s="149" t="str">
        <f>GetSheetNameByIndex(3)</f>
        <v>Одна восьмая финала</v>
      </c>
      <c r="E30" s="125">
        <v>2</v>
      </c>
      <c r="F30" s="227" t="str">
        <f>IF(IsSetBit32($B$16,0),"1 (кнопка перехода уже нажималась и теперь заблокирована)","0 (кнопка перехода еще ни разу не нажималась)")</f>
        <v>0 (кнопка перехода еще ни разу не нажималась)</v>
      </c>
      <c r="G30" s="227"/>
      <c r="H30" s="140"/>
    </row>
    <row r="31" spans="1:16" ht="30" customHeight="1" x14ac:dyDescent="0.2">
      <c r="A31">
        <v>14</v>
      </c>
      <c r="B31">
        <v>24</v>
      </c>
      <c r="D31" s="149" t="str">
        <f>GetSheetNameByIndex(4)</f>
        <v>Четвертьфинал</v>
      </c>
      <c r="E31" s="128">
        <v>3</v>
      </c>
      <c r="F31" s="226" t="str">
        <f>IF(IsSetBit32($B$16,0),"1 (кнопка перехода уже нажималась и теперь заблокирована)","0 (кнопка перехода еще ни разу не нажималась)")</f>
        <v>0 (кнопка перехода еще ни разу не нажималась)</v>
      </c>
      <c r="G31" s="226"/>
      <c r="H31" s="141"/>
    </row>
    <row r="32" spans="1:16" ht="30" customHeight="1" x14ac:dyDescent="0.2">
      <c r="A32">
        <v>15</v>
      </c>
      <c r="B32">
        <v>22</v>
      </c>
      <c r="D32" s="149" t="str">
        <f>GetSheetNameByIndex(5)</f>
        <v>Полуфинал</v>
      </c>
      <c r="E32" s="125">
        <v>4</v>
      </c>
      <c r="F32" s="227" t="str">
        <f>IF(IsSetBit32($B$16,0),"1 (кнопка перехода уже нажималась и теперь заблокирована)","0 (кнопка перехода еще ни разу не нажималась)")</f>
        <v>0 (кнопка перехода еще ни разу не нажималась)</v>
      </c>
      <c r="G32" s="227"/>
      <c r="H32" s="140"/>
    </row>
    <row r="33" spans="1:8" ht="30" customHeight="1" x14ac:dyDescent="0.2">
      <c r="A33">
        <v>16</v>
      </c>
      <c r="B33">
        <v>20</v>
      </c>
      <c r="D33" s="149" t="str">
        <f>GetSheetNameByIndex(6)</f>
        <v>Финал</v>
      </c>
      <c r="E33" s="128">
        <v>5</v>
      </c>
      <c r="F33" s="226" t="str">
        <f>IF(IsSetBit32($B$16,0),"1 (кнопка перехода уже нажималась и теперь заблокирована)","0 (кнопка перехода еще ни разу не нажималась)")</f>
        <v>0 (кнопка перехода еще ни разу не нажималась)</v>
      </c>
      <c r="G33" s="226"/>
      <c r="H33" s="141"/>
    </row>
    <row r="34" spans="1:8" ht="39.950000000000003" customHeight="1" thickBot="1" x14ac:dyDescent="0.25">
      <c r="A34">
        <v>17</v>
      </c>
      <c r="B34">
        <v>18</v>
      </c>
      <c r="D34" s="150" t="str">
        <f>GetSheetNameByIndex(7)</f>
        <v>Итоговый протокол 16 и более</v>
      </c>
      <c r="E34" s="151">
        <v>6</v>
      </c>
      <c r="F34" s="230" t="str">
        <f>IF(IsSetBit32($B$16,0),"1 (кнопка перехода уже нажималась и теперь заблокирована)","0 (кнопка перехода еще ни разу не нажималась)")</f>
        <v>0 (кнопка перехода еще ни разу не нажималась)</v>
      </c>
      <c r="G34" s="231"/>
      <c r="H34" s="154"/>
    </row>
    <row r="35" spans="1:8" ht="21.95" customHeight="1" thickTop="1" x14ac:dyDescent="0.2">
      <c r="A35">
        <v>18</v>
      </c>
      <c r="B35">
        <v>16</v>
      </c>
    </row>
    <row r="36" spans="1:8" ht="21.95" customHeight="1" x14ac:dyDescent="0.2">
      <c r="A36">
        <v>19</v>
      </c>
      <c r="B36">
        <v>14</v>
      </c>
    </row>
    <row r="37" spans="1:8" ht="21.95" customHeight="1" x14ac:dyDescent="0.2">
      <c r="A37">
        <v>20</v>
      </c>
      <c r="B37">
        <v>12</v>
      </c>
    </row>
    <row r="38" spans="1:8" ht="21.95" customHeight="1" x14ac:dyDescent="0.2">
      <c r="A38">
        <v>21</v>
      </c>
      <c r="B38">
        <v>10</v>
      </c>
    </row>
    <row r="39" spans="1:8" ht="21.95" customHeight="1" x14ac:dyDescent="0.2">
      <c r="A39">
        <v>22</v>
      </c>
      <c r="B39">
        <v>9</v>
      </c>
    </row>
    <row r="40" spans="1:8" ht="21.95" customHeight="1" x14ac:dyDescent="0.2">
      <c r="A40">
        <v>23</v>
      </c>
      <c r="B40">
        <v>8</v>
      </c>
    </row>
    <row r="41" spans="1:8" ht="21.95" customHeight="1" x14ac:dyDescent="0.2">
      <c r="A41">
        <v>24</v>
      </c>
      <c r="B41">
        <v>7</v>
      </c>
    </row>
    <row r="42" spans="1:8" ht="21.95" customHeight="1" x14ac:dyDescent="0.2">
      <c r="A42">
        <v>25</v>
      </c>
      <c r="B42">
        <v>6</v>
      </c>
    </row>
    <row r="43" spans="1:8" ht="21.95" customHeight="1" x14ac:dyDescent="0.2">
      <c r="A43">
        <v>26</v>
      </c>
      <c r="B43">
        <v>5</v>
      </c>
    </row>
    <row r="44" spans="1:8" ht="21.95" customHeight="1" x14ac:dyDescent="0.2">
      <c r="A44">
        <v>27</v>
      </c>
      <c r="B44">
        <v>4</v>
      </c>
    </row>
    <row r="45" spans="1:8" ht="21.95" customHeight="1" x14ac:dyDescent="0.2">
      <c r="A45">
        <v>28</v>
      </c>
      <c r="B45">
        <v>3</v>
      </c>
    </row>
    <row r="46" spans="1:8" ht="21.95" customHeight="1" x14ac:dyDescent="0.2">
      <c r="A46">
        <v>29</v>
      </c>
      <c r="B46">
        <v>2</v>
      </c>
    </row>
    <row r="47" spans="1:8" ht="21.95" customHeight="1" x14ac:dyDescent="0.2">
      <c r="A47">
        <v>30</v>
      </c>
      <c r="B47">
        <v>1</v>
      </c>
    </row>
  </sheetData>
  <mergeCells count="19">
    <mergeCell ref="F29:G29"/>
    <mergeCell ref="F28:G28"/>
    <mergeCell ref="F27:G27"/>
    <mergeCell ref="F34:G34"/>
    <mergeCell ref="F33:G33"/>
    <mergeCell ref="F32:G32"/>
    <mergeCell ref="F31:G31"/>
    <mergeCell ref="F30:G30"/>
    <mergeCell ref="N16:P16"/>
    <mergeCell ref="K16:M16"/>
    <mergeCell ref="H16:J16"/>
    <mergeCell ref="E16:G16"/>
    <mergeCell ref="E26:F26"/>
    <mergeCell ref="G14:H14"/>
    <mergeCell ref="A4:A5"/>
    <mergeCell ref="A11:C11"/>
    <mergeCell ref="A14:A15"/>
    <mergeCell ref="B14:B15"/>
    <mergeCell ref="E14:F14"/>
  </mergeCells>
  <phoneticPr fontId="5" type="noConversion"/>
  <pageMargins left="0.75" right="0.75" top="1" bottom="1" header="0.5" footer="0.5"/>
  <pageSetup paperSize="9" orientation="portrait" verticalDpi="0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17</vt:i4>
      </vt:variant>
    </vt:vector>
  </HeadingPairs>
  <TitlesOfParts>
    <vt:vector size="27" baseType="lpstr">
      <vt:lpstr>Стартовый</vt:lpstr>
      <vt:lpstr>Квалификация</vt:lpstr>
      <vt:lpstr>Одна восьмая финала</vt:lpstr>
      <vt:lpstr>Четвертьфинал</vt:lpstr>
      <vt:lpstr>Полуфинал</vt:lpstr>
      <vt:lpstr>Финал</vt:lpstr>
      <vt:lpstr>Итоговый протокол 16 и более</vt:lpstr>
      <vt:lpstr>Итоговый протокол до 16</vt:lpstr>
      <vt:lpstr>Итоговый протокол до 8</vt:lpstr>
      <vt:lpstr>Setup</vt:lpstr>
      <vt:lpstr>CompNameIndex</vt:lpstr>
      <vt:lpstr>EndCompDate</vt:lpstr>
      <vt:lpstr>EndGroupYearIndex</vt:lpstr>
      <vt:lpstr>FLAGS</vt:lpstr>
      <vt:lpstr>HideFlags</vt:lpstr>
      <vt:lpstr>InitOnSheetFlagsValue</vt:lpstr>
      <vt:lpstr>MainJudgeIndex</vt:lpstr>
      <vt:lpstr>MainSecretaryIndex</vt:lpstr>
      <vt:lpstr>OnSheetFlags</vt:lpstr>
      <vt:lpstr>Request</vt:lpstr>
      <vt:lpstr>Rw6Index</vt:lpstr>
      <vt:lpstr>StartCompDate</vt:lpstr>
      <vt:lpstr>TransFlags</vt:lpstr>
      <vt:lpstr>Год_рождения</vt:lpstr>
      <vt:lpstr>Команда</vt:lpstr>
      <vt:lpstr>Разряд</vt:lpstr>
      <vt:lpstr>ФИО_участников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Пользователь Windows</cp:lastModifiedBy>
  <cp:lastPrinted>2012-02-07T18:50:03Z</cp:lastPrinted>
  <dcterms:created xsi:type="dcterms:W3CDTF">1996-10-08T23:32:33Z</dcterms:created>
  <dcterms:modified xsi:type="dcterms:W3CDTF">2019-01-04T22:10:53Z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1db598a5-4228-43fb-886d-ff5d3d66fb5f</vt:lpwstr>
  </property>
</Properties>
</file>