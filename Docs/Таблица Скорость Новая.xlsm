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activeTab="5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CompNameIndex">Setup!$B$3</definedName>
    <definedName name="EndCompDate">Setup!$C$5</definedName>
    <definedName name="EndGroupYearIndex">Setup!$B$7</definedName>
    <definedName name="FLAGS">Setup!$B$2</definedName>
    <definedName name="HideFlags">Setup!$B$1</definedName>
    <definedName name="InitOnSheetFlagsValue">Setup!$D$13</definedName>
    <definedName name="MainJudgeIndex">Setup!$B$8</definedName>
    <definedName name="MainSecretaryIndex">Setup!$B$9</definedName>
    <definedName name="OnSheetFlags">Setup!$B$13</definedName>
    <definedName name="Request">Setup!$C$1</definedName>
    <definedName name="Row6Index">Setup!$B$10</definedName>
    <definedName name="StartCompDate">Setup!$B$5</definedName>
    <definedName name="StartGroupYear">Setup!$B$6</definedName>
    <definedName name="TransFlags">Setup!$B$16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D34" i="12"/>
  <c r="F30" i="12"/>
  <c r="F33" i="12"/>
  <c r="D28" i="12"/>
  <c r="D32" i="12"/>
  <c r="F34" i="12"/>
  <c r="F31" i="12"/>
  <c r="D30" i="12"/>
  <c r="D29" i="12"/>
  <c r="F32" i="12"/>
  <c r="F29" i="12"/>
  <c r="D31" i="12"/>
  <c r="D33" i="12"/>
  <c r="F28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I18" i="12"/>
  <c r="O22" i="12"/>
  <c r="L17" i="12"/>
  <c r="O20" i="12"/>
  <c r="L18" i="12"/>
  <c r="L24" i="12"/>
  <c r="I22" i="12"/>
  <c r="O18" i="12"/>
  <c r="L21" i="12"/>
  <c r="I24" i="12"/>
  <c r="F21" i="12"/>
  <c r="I23" i="12"/>
  <c r="L22" i="12"/>
  <c r="I19" i="12"/>
  <c r="C13" i="12"/>
  <c r="O21" i="12"/>
  <c r="I20" i="12"/>
  <c r="F20" i="12"/>
  <c r="I17" i="12"/>
  <c r="F24" i="12"/>
  <c r="F19" i="12"/>
  <c r="L19" i="12"/>
  <c r="L20" i="12"/>
  <c r="F22" i="12"/>
  <c r="I21" i="12"/>
  <c r="F23" i="12"/>
  <c r="O19" i="12"/>
  <c r="F18" i="12"/>
  <c r="L23" i="12"/>
  <c r="D18" i="2" l="1"/>
  <c r="D25" i="5"/>
  <c r="D14" i="3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<sst xmlns="http://schemas.openxmlformats.org/spreadsheetml/2006/main" count="440" uniqueCount="154">
  <si>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</si>
  <si>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</si>
  <si>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</si>
  <si>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</si>
  <si>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</si>
  <si>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</si>
  <si>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</si>
  <si>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</si>
  <si>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</si>
  <si>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</si>
  <si>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</si>
  <si>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</si>
  <si>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</si>
  <si>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</si>
  <si>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</si>
  <si>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</si>
  <si>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</si>
  <si>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</si>
  <si>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</si>
  <si>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</si>
  <si>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</si>
  <si>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</si>
  <si>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</si>
  <si>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</si>
  <si>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</si>
  <si>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</si>
  <si>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</si>
  <si>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</si>
  <si>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</si>
  <si>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</si>
  <si>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</si>
  <si>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</si>
  <si>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</si>
  <si>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</si>
  <si>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</si>
  <si>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</si>
  <si>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</si>
  <si>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</si>
  <si>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</si>
  <si>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</si>
  <si>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</si>
  <si>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</si>
  <si>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</si>
  <si>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</si>
  <si>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</si>
  <si>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</si>
  <si>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</si>
  <si>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</si>
  <si>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</si>
  <si>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</si>
  <si>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</si>
  <si>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</si>
  <si>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</si>
  <si>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</si>
  <si>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</si>
  <si>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</si>
  <si>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</si>
  <si>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</si>
  <si>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</si>
  <si>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</si>
  <si>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</si>
  <si>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</si>
  <si>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</si>
  <si>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</si>
  <si>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Спортивный фестиваль "Веселые старты"</t>
  </si>
  <si>
    <t>Калентеенков С. В. (с1к)</t>
  </si>
  <si>
    <t>Калентеенкова С. Н. (с1к)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</si>
  <si>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</si>
  <si>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</si>
  <si>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</si>
  <si>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</si>
  <si>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</si>
  <si>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</si>
  <si>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</si>
  <si>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</si>
  <si>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</si>
  <si>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</si>
  <si>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</si>
  <si>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</si>
  <si>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</si>
  <si>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</si>
  <si>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</si>
  <si>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</si>
  <si>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</si>
  <si>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</si>
  <si>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</si>
  <si>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</si>
  <si>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</si>
  <si>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</si>
  <si>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</si>
  <si>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</si>
  <si>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</si>
  <si>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</si>
  <si>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</si>
  <si>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</si>
  <si>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</si>
  <si>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</si>
  <si>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</si>
  <si>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</si>
  <si>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</si>
  <si>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</si>
  <si>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</si>
  <si>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</si>
  <si>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</si>
  <si>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</si>
  <si>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</si>
  <si>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</si>
  <si>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</si>
  <si>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</si>
  <si>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</si>
  <si>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</si>
  <si>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</si>
  <si>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</si>
  <si>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</si>
  <si>
    <t>21 Апреля 2019</t>
  </si>
  <si>
    <t>Меркурьев Илья</t>
  </si>
  <si>
    <t>Юденков Максим</t>
  </si>
  <si>
    <t>Касаткин Николай</t>
  </si>
  <si>
    <t>Москва</t>
  </si>
  <si>
    <t>КМС</t>
  </si>
  <si>
    <t>Золотарёв Александр</t>
  </si>
  <si>
    <t>Калентеенков Александр</t>
  </si>
  <si>
    <t>Авилкин Сергей</t>
  </si>
  <si>
    <t>Десногорск</t>
  </si>
  <si>
    <t>б/р</t>
  </si>
  <si>
    <t>Ярема Евгений</t>
  </si>
  <si>
    <t>Козьмин Данила</t>
  </si>
  <si>
    <t>МС</t>
  </si>
  <si>
    <t>Зайцев Евгений</t>
  </si>
  <si>
    <t>Корягин Алексей</t>
  </si>
  <si>
    <t>Калуга</t>
  </si>
  <si>
    <t>Аминов Фарит</t>
  </si>
  <si>
    <t>Сухов Вадим</t>
  </si>
  <si>
    <t>Михайлов Александр</t>
  </si>
  <si>
    <t>Мусич Владимир</t>
  </si>
  <si>
    <t>Костыгов Юрий</t>
  </si>
  <si>
    <t>Бабина Павел</t>
  </si>
  <si>
    <t>Сафонов Артём</t>
  </si>
  <si>
    <t>Яковлев Сергей</t>
  </si>
  <si>
    <t>Савельев Иван</t>
  </si>
  <si>
    <t>Бурдейный Андрей</t>
  </si>
  <si>
    <t>Михайлов Иван</t>
  </si>
  <si>
    <t>Позмогов Роман</t>
  </si>
  <si>
    <t>Антонов Максим</t>
  </si>
  <si>
    <t>Розов Александр</t>
  </si>
  <si>
    <t>Уфаев Дмитрий</t>
  </si>
  <si>
    <t>Воробьёв Алексей</t>
  </si>
  <si>
    <t>Власов Сергей</t>
  </si>
  <si>
    <t>Воробьёв Влад</t>
  </si>
  <si>
    <t>Костюков Денис</t>
  </si>
  <si>
    <t>Скоробогатов Алексей</t>
  </si>
  <si>
    <t>Ковалёв Алексей</t>
  </si>
  <si>
    <t>срыв</t>
  </si>
  <si>
    <t>я неявка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</si>
</sst>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B8" sqref="B8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9" t="s">
        <v>28</v>
      </c>
      <c r="B1" s="159"/>
      <c r="C1" s="159"/>
      <c r="D1" s="159"/>
      <c r="E1" s="159"/>
    </row>
    <row r="2" spans="1:5" ht="18" customHeight="1" x14ac:dyDescent="0.25">
      <c r="A2" s="162" t="s">
        <v>64</v>
      </c>
      <c r="B2" s="162"/>
      <c r="C2" s="162"/>
      <c r="D2" s="162"/>
      <c r="E2" s="162"/>
    </row>
    <row r="3" spans="1:5" ht="15" customHeight="1" x14ac:dyDescent="0.25">
      <c r="A3" s="44" t="s">
        <v>21</v>
      </c>
      <c r="B3" s="10"/>
      <c r="C3" s="163" t="s">
        <v>114</v>
      </c>
      <c r="D3" s="163"/>
      <c r="E3" s="163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60" t="s">
        <v>50</v>
      </c>
      <c r="B5" s="160"/>
      <c r="C5" s="160"/>
      <c r="D5" s="160"/>
      <c r="E5" s="160"/>
    </row>
    <row r="6" spans="1:5" s="50" customFormat="1" hidden="1" x14ac:dyDescent="0.2">
      <c r="A6" s="161" t="s">
        <v>0</v>
      </c>
      <c r="B6" s="161"/>
      <c r="C6" s="161"/>
      <c r="D6" s="161"/>
      <c r="E6" s="161"/>
    </row>
    <row r="7" spans="1:5" ht="15" customHeight="1" x14ac:dyDescent="0.2">
      <c r="A7" s="15" t="s">
        <v>1</v>
      </c>
      <c r="B7" s="15" t="s">
        <v>59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137</v>
      </c>
      <c r="C8" s="77" t="s">
        <v>130</v>
      </c>
      <c r="D8" s="77">
        <v>1981</v>
      </c>
      <c r="E8" s="77">
        <v>3</v>
      </c>
    </row>
    <row r="9" spans="1:5" ht="15" customHeight="1" x14ac:dyDescent="0.2">
      <c r="A9" s="54">
        <v>2</v>
      </c>
      <c r="B9" s="76" t="s">
        <v>129</v>
      </c>
      <c r="C9" s="156" t="s">
        <v>130</v>
      </c>
      <c r="D9" s="77">
        <v>1981</v>
      </c>
      <c r="E9" s="156">
        <v>2</v>
      </c>
    </row>
    <row r="10" spans="1:5" ht="15" customHeight="1" x14ac:dyDescent="0.2">
      <c r="A10" s="54">
        <v>3</v>
      </c>
      <c r="B10" s="76" t="s">
        <v>133</v>
      </c>
      <c r="C10" s="14" t="s">
        <v>123</v>
      </c>
      <c r="D10" s="77"/>
      <c r="E10" s="77" t="s">
        <v>124</v>
      </c>
    </row>
    <row r="11" spans="1:5" ht="15" customHeight="1" x14ac:dyDescent="0.2">
      <c r="A11" s="54">
        <v>4</v>
      </c>
      <c r="B11" s="76" t="s">
        <v>131</v>
      </c>
      <c r="C11" s="156" t="s">
        <v>118</v>
      </c>
      <c r="D11" s="77">
        <v>1987</v>
      </c>
      <c r="E11" s="77">
        <v>3</v>
      </c>
    </row>
    <row r="12" spans="1:5" ht="15" customHeight="1" x14ac:dyDescent="0.2">
      <c r="A12" s="54">
        <v>5</v>
      </c>
      <c r="B12" s="76" t="s">
        <v>149</v>
      </c>
      <c r="C12" s="77" t="s">
        <v>21</v>
      </c>
      <c r="D12" s="77"/>
      <c r="E12" s="77" t="s">
        <v>124</v>
      </c>
    </row>
    <row r="13" spans="1:5" ht="15" customHeight="1" x14ac:dyDescent="0.2">
      <c r="A13" s="54">
        <v>6</v>
      </c>
      <c r="B13" s="76" t="s">
        <v>134</v>
      </c>
      <c r="C13" s="156" t="s">
        <v>118</v>
      </c>
      <c r="D13" s="77"/>
      <c r="E13" s="77" t="s">
        <v>119</v>
      </c>
    </row>
    <row r="14" spans="1:5" ht="15" customHeight="1" x14ac:dyDescent="0.2">
      <c r="A14" s="54">
        <v>7</v>
      </c>
      <c r="B14" s="76" t="s">
        <v>140</v>
      </c>
      <c r="C14" s="77" t="s">
        <v>21</v>
      </c>
      <c r="D14" s="77">
        <v>1986</v>
      </c>
      <c r="E14" s="77">
        <v>2</v>
      </c>
    </row>
    <row r="15" spans="1:5" ht="15" customHeight="1" x14ac:dyDescent="0.2">
      <c r="A15" s="54">
        <v>8</v>
      </c>
      <c r="B15" s="76" t="s">
        <v>128</v>
      </c>
      <c r="C15" s="77" t="s">
        <v>118</v>
      </c>
      <c r="D15" s="77">
        <v>1987</v>
      </c>
      <c r="E15" s="77">
        <v>1</v>
      </c>
    </row>
    <row r="16" spans="1:5" ht="15" customHeight="1" x14ac:dyDescent="0.2">
      <c r="A16" s="54">
        <v>9</v>
      </c>
      <c r="B16" s="76" t="s">
        <v>145</v>
      </c>
      <c r="C16" s="77" t="s">
        <v>118</v>
      </c>
      <c r="D16" s="77">
        <v>1985</v>
      </c>
      <c r="E16" s="77" t="s">
        <v>124</v>
      </c>
    </row>
    <row r="17" spans="1:5" ht="15" customHeight="1" x14ac:dyDescent="0.2">
      <c r="A17" s="54">
        <v>10</v>
      </c>
      <c r="B17" s="76" t="s">
        <v>125</v>
      </c>
      <c r="C17" s="77" t="s">
        <v>21</v>
      </c>
      <c r="D17" s="77">
        <v>1983</v>
      </c>
      <c r="E17" s="77">
        <v>2</v>
      </c>
    </row>
    <row r="18" spans="1:5" ht="15" customHeight="1" x14ac:dyDescent="0.2">
      <c r="A18" s="54">
        <v>11</v>
      </c>
      <c r="B18" s="76" t="s">
        <v>147</v>
      </c>
      <c r="C18" s="14" t="s">
        <v>130</v>
      </c>
      <c r="D18" s="77">
        <v>1986</v>
      </c>
      <c r="E18" s="77">
        <v>2</v>
      </c>
    </row>
    <row r="19" spans="1:5" ht="15" customHeight="1" x14ac:dyDescent="0.2">
      <c r="A19" s="54">
        <v>12</v>
      </c>
      <c r="B19" s="76" t="s">
        <v>132</v>
      </c>
      <c r="C19" s="77" t="s">
        <v>118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115</v>
      </c>
      <c r="C20" s="14" t="s">
        <v>21</v>
      </c>
      <c r="D20" s="77">
        <v>1984</v>
      </c>
      <c r="E20" s="77">
        <v>2</v>
      </c>
    </row>
    <row r="21" spans="1:5" ht="15" customHeight="1" x14ac:dyDescent="0.2">
      <c r="A21" s="54">
        <v>14</v>
      </c>
      <c r="B21" s="76" t="s">
        <v>141</v>
      </c>
      <c r="C21" s="77" t="s">
        <v>123</v>
      </c>
      <c r="D21" s="77"/>
      <c r="E21" s="77" t="s">
        <v>124</v>
      </c>
    </row>
    <row r="22" spans="1:5" ht="15" customHeight="1" x14ac:dyDescent="0.2">
      <c r="A22" s="54">
        <v>15</v>
      </c>
      <c r="B22" s="76" t="s">
        <v>146</v>
      </c>
      <c r="C22" s="77" t="s">
        <v>118</v>
      </c>
      <c r="D22" s="77">
        <v>1982</v>
      </c>
      <c r="E22" s="77" t="s">
        <v>119</v>
      </c>
    </row>
    <row r="23" spans="1:5" ht="15" customHeight="1" x14ac:dyDescent="0.2">
      <c r="A23" s="54">
        <v>16</v>
      </c>
      <c r="B23" s="76" t="s">
        <v>121</v>
      </c>
      <c r="C23" s="77" t="s">
        <v>21</v>
      </c>
      <c r="D23" s="77">
        <v>1990</v>
      </c>
      <c r="E23" s="77">
        <v>2</v>
      </c>
    </row>
    <row r="24" spans="1:5" ht="15" customHeight="1" x14ac:dyDescent="0.2">
      <c r="A24" s="54">
        <v>17</v>
      </c>
      <c r="B24" s="76" t="s">
        <v>122</v>
      </c>
      <c r="C24" s="77" t="s">
        <v>123</v>
      </c>
      <c r="D24" s="77"/>
      <c r="E24" s="78" t="s">
        <v>124</v>
      </c>
    </row>
    <row r="25" spans="1:5" ht="15" customHeight="1" x14ac:dyDescent="0.2">
      <c r="A25" s="54">
        <v>18</v>
      </c>
      <c r="B25" s="76" t="s">
        <v>142</v>
      </c>
      <c r="C25" s="91" t="s">
        <v>123</v>
      </c>
      <c r="D25" s="77">
        <v>0</v>
      </c>
      <c r="E25" s="77" t="s">
        <v>124</v>
      </c>
    </row>
    <row r="26" spans="1:5" ht="15" customHeight="1" x14ac:dyDescent="0.2">
      <c r="A26" s="54">
        <v>19</v>
      </c>
      <c r="B26" s="76" t="s">
        <v>139</v>
      </c>
      <c r="C26" s="14" t="s">
        <v>130</v>
      </c>
      <c r="D26" s="77">
        <v>1990</v>
      </c>
      <c r="E26" s="14" t="s">
        <v>124</v>
      </c>
    </row>
    <row r="27" spans="1:5" ht="15" customHeight="1" x14ac:dyDescent="0.2">
      <c r="A27" s="54">
        <v>20</v>
      </c>
      <c r="B27" s="76" t="s">
        <v>148</v>
      </c>
      <c r="C27" s="77" t="s">
        <v>118</v>
      </c>
      <c r="D27" s="77">
        <v>1988</v>
      </c>
      <c r="E27" s="77">
        <v>2</v>
      </c>
    </row>
    <row r="28" spans="1:5" ht="15" customHeight="1" x14ac:dyDescent="0.2">
      <c r="A28" s="54">
        <v>21</v>
      </c>
      <c r="B28" s="157" t="s">
        <v>144</v>
      </c>
      <c r="C28" s="156" t="s">
        <v>118</v>
      </c>
      <c r="D28" s="156"/>
      <c r="E28" s="156" t="s">
        <v>124</v>
      </c>
    </row>
    <row r="29" spans="1:5" ht="15" customHeight="1" x14ac:dyDescent="0.2">
      <c r="A29" s="54">
        <v>22</v>
      </c>
      <c r="B29" s="76" t="s">
        <v>120</v>
      </c>
      <c r="C29" s="77" t="s">
        <v>21</v>
      </c>
      <c r="D29" s="77">
        <v>1985</v>
      </c>
      <c r="E29" s="77">
        <v>2</v>
      </c>
    </row>
    <row r="30" spans="1:5" ht="15" customHeight="1" x14ac:dyDescent="0.2">
      <c r="A30" s="54">
        <v>23</v>
      </c>
      <c r="B30" s="157" t="s">
        <v>117</v>
      </c>
      <c r="C30" s="156" t="s">
        <v>118</v>
      </c>
      <c r="D30" s="156">
        <v>1980</v>
      </c>
      <c r="E30" s="156" t="s">
        <v>119</v>
      </c>
    </row>
    <row r="31" spans="1:5" ht="15" customHeight="1" x14ac:dyDescent="0.2">
      <c r="A31" s="54">
        <v>24</v>
      </c>
      <c r="B31" s="76" t="s">
        <v>138</v>
      </c>
      <c r="C31" s="77" t="s">
        <v>118</v>
      </c>
      <c r="D31" s="77">
        <v>1985</v>
      </c>
      <c r="E31" s="77" t="s">
        <v>119</v>
      </c>
    </row>
    <row r="32" spans="1:5" ht="15" customHeight="1" x14ac:dyDescent="0.2">
      <c r="A32" s="54">
        <v>25</v>
      </c>
      <c r="B32" s="76" t="s">
        <v>136</v>
      </c>
      <c r="C32" s="77" t="s">
        <v>21</v>
      </c>
      <c r="D32" s="77">
        <v>1989</v>
      </c>
      <c r="E32" s="77">
        <v>1</v>
      </c>
    </row>
    <row r="33" spans="1:5" ht="15" customHeight="1" x14ac:dyDescent="0.2">
      <c r="A33" s="54">
        <v>26</v>
      </c>
      <c r="B33" s="76" t="s">
        <v>151</v>
      </c>
      <c r="C33" s="156" t="s">
        <v>21</v>
      </c>
      <c r="D33" s="77">
        <v>1989</v>
      </c>
      <c r="E33" s="77">
        <v>1</v>
      </c>
    </row>
    <row r="34" spans="1:5" ht="15" customHeight="1" x14ac:dyDescent="0.2">
      <c r="A34" s="54">
        <v>27</v>
      </c>
      <c r="B34" s="76" t="s">
        <v>126</v>
      </c>
      <c r="C34" s="14" t="s">
        <v>118</v>
      </c>
      <c r="D34" s="77">
        <v>1983</v>
      </c>
      <c r="E34" s="77" t="s">
        <v>127</v>
      </c>
    </row>
    <row r="35" spans="1:5" ht="15" customHeight="1" x14ac:dyDescent="0.2">
      <c r="A35" s="54">
        <v>28</v>
      </c>
      <c r="B35" s="76" t="s">
        <v>116</v>
      </c>
      <c r="C35" s="77" t="s">
        <v>21</v>
      </c>
      <c r="D35" s="77">
        <v>1991</v>
      </c>
      <c r="E35" s="77">
        <v>2</v>
      </c>
    </row>
    <row r="36" spans="1:5" ht="15" customHeight="1" x14ac:dyDescent="0.2">
      <c r="A36" s="54">
        <v>29</v>
      </c>
      <c r="B36" s="76" t="s">
        <v>135</v>
      </c>
      <c r="C36" s="77" t="s">
        <v>118</v>
      </c>
      <c r="D36" s="77"/>
      <c r="E36" s="77" t="s">
        <v>124</v>
      </c>
    </row>
    <row r="37" spans="1:5" ht="15" customHeight="1" x14ac:dyDescent="0.2">
      <c r="A37" s="54">
        <v>30</v>
      </c>
      <c r="B37" s="76" t="s">
        <v>150</v>
      </c>
      <c r="C37" s="77" t="s">
        <v>130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143</v>
      </c>
      <c r="C38" s="77" t="s">
        <v>21</v>
      </c>
      <c r="D38" s="77">
        <v>1986</v>
      </c>
      <c r="E38" s="78" t="s">
        <v>124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8" t="s">
        <v>65</v>
      </c>
      <c r="D40" s="158"/>
      <c r="E40" s="158"/>
    </row>
    <row r="41" spans="1:5" x14ac:dyDescent="0.2">
      <c r="A41" s="3"/>
      <c r="B41" s="57" t="s">
        <v>17</v>
      </c>
      <c r="C41" s="158" t="s">
        <v>66</v>
      </c>
      <c r="D41" s="158"/>
      <c r="E41" s="158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2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9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G19" sqref="G19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0" t="str">
        <f>Стартовый!A2</f>
        <v>Спортивный фестиваль "Веселые старты"</v>
      </c>
      <c r="B1" s="170"/>
      <c r="C1" s="170"/>
      <c r="D1" s="170"/>
      <c r="E1" s="170"/>
      <c r="F1" s="170"/>
      <c r="G1" s="170"/>
      <c r="H1" s="170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1" t="s">
        <v>114</v>
      </c>
      <c r="F2" s="171"/>
      <c r="G2" s="171"/>
      <c r="H2" s="171"/>
      <c r="J2" s="174" t="s">
        <v>62</v>
      </c>
      <c r="K2" s="175" t="s">
        <v>63</v>
      </c>
      <c r="L2" s="164" t="s">
        <v>45</v>
      </c>
      <c r="M2" s="165"/>
      <c r="N2" s="165"/>
      <c r="O2" s="166"/>
    </row>
    <row r="3" spans="1:21" s="46" customFormat="1" ht="17.100000000000001" customHeight="1" x14ac:dyDescent="0.25">
      <c r="A3" s="172" t="s">
        <v>27</v>
      </c>
      <c r="B3" s="172"/>
      <c r="C3" s="172"/>
      <c r="D3" s="172"/>
      <c r="E3" s="172"/>
      <c r="F3" s="172"/>
      <c r="G3" s="172"/>
      <c r="H3" s="172"/>
      <c r="I3" s="72"/>
      <c r="J3" s="174"/>
      <c r="K3" s="175"/>
      <c r="L3" s="167"/>
      <c r="M3" s="168"/>
      <c r="N3" s="168"/>
      <c r="O3" s="169"/>
      <c r="T3" s="50"/>
      <c r="U3" s="50"/>
    </row>
    <row r="4" spans="1:21" ht="15.95" customHeight="1" x14ac:dyDescent="0.2">
      <c r="A4" s="173" t="s">
        <v>51</v>
      </c>
      <c r="B4" s="173"/>
      <c r="C4" s="173"/>
      <c r="D4" s="173"/>
      <c r="E4" s="173"/>
      <c r="F4" s="173"/>
      <c r="G4" s="173"/>
      <c r="H4" s="173"/>
      <c r="I4" s="71"/>
      <c r="J4" s="174"/>
      <c r="K4" s="175"/>
      <c r="L4" s="176" t="s">
        <v>46</v>
      </c>
      <c r="M4" s="177"/>
      <c r="N4" s="177"/>
      <c r="O4" s="178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4"/>
      <c r="K5" s="175"/>
      <c r="L5" s="179"/>
      <c r="M5" s="180"/>
      <c r="N5" s="180"/>
      <c r="O5" s="181"/>
    </row>
    <row r="6" spans="1:21" hidden="1" x14ac:dyDescent="0.2">
      <c r="A6" s="183" t="s">
        <v>0</v>
      </c>
      <c r="B6" s="183"/>
      <c r="C6" s="183">
        <f>Стартовый!C6</f>
        <v>0</v>
      </c>
      <c r="D6" s="183"/>
      <c r="E6" s="183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59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84" t="s">
        <v>26</v>
      </c>
      <c r="K7" s="185"/>
      <c r="L7" s="185"/>
      <c r="M7" s="105"/>
      <c r="N7" s="105"/>
      <c r="O7" s="105"/>
    </row>
    <row r="8" spans="1:21" ht="15" customHeight="1" x14ac:dyDescent="0.2">
      <c r="A8" s="121">
        <v>1</v>
      </c>
      <c r="B8" s="76" t="s">
        <v>137</v>
      </c>
      <c r="C8" s="77" t="s">
        <v>130</v>
      </c>
      <c r="D8" s="77">
        <v>1981</v>
      </c>
      <c r="E8" s="77">
        <v>3</v>
      </c>
      <c r="F8" s="18">
        <v>9.8958333333333344E-5</v>
      </c>
      <c r="G8" s="18">
        <v>2.4305555555555558E-5</v>
      </c>
      <c r="H8" s="18">
        <v>1.232638888888889E-4</v>
      </c>
      <c r="I8" s="90"/>
      <c r="J8" s="81"/>
      <c r="P8" s="80"/>
    </row>
    <row r="9" spans="1:21" ht="15" customHeight="1" x14ac:dyDescent="0.2">
      <c r="A9" s="121">
        <v>2</v>
      </c>
      <c r="B9" s="76" t="s">
        <v>129</v>
      </c>
      <c r="C9" s="156" t="s">
        <v>130</v>
      </c>
      <c r="D9" s="77">
        <v>1981</v>
      </c>
      <c r="E9" s="156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76" t="s">
        <v>133</v>
      </c>
      <c r="C10" s="156" t="s">
        <v>123</v>
      </c>
      <c r="D10" s="77"/>
      <c r="E10" s="77" t="s">
        <v>124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131</v>
      </c>
      <c r="C11" s="156" t="s">
        <v>118</v>
      </c>
      <c r="D11" s="77">
        <v>1987</v>
      </c>
      <c r="E11" s="77">
        <v>3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149</v>
      </c>
      <c r="C12" s="77" t="s">
        <v>21</v>
      </c>
      <c r="D12" s="77"/>
      <c r="E12" s="77" t="s">
        <v>124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134</v>
      </c>
      <c r="C13" s="156" t="s">
        <v>118</v>
      </c>
      <c r="D13" s="77"/>
      <c r="E13" s="77" t="s">
        <v>119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140</v>
      </c>
      <c r="C14" s="77" t="s">
        <v>21</v>
      </c>
      <c r="D14" s="77">
        <v>1986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128</v>
      </c>
      <c r="C15" s="77" t="s">
        <v>118</v>
      </c>
      <c r="D15" s="77">
        <v>1987</v>
      </c>
      <c r="E15" s="77">
        <v>1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145</v>
      </c>
      <c r="C16" s="77" t="s">
        <v>118</v>
      </c>
      <c r="D16" s="77">
        <v>1985</v>
      </c>
      <c r="E16" s="77" t="s">
        <v>124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125</v>
      </c>
      <c r="C17" s="77" t="s">
        <v>21</v>
      </c>
      <c r="D17" s="77">
        <v>1983</v>
      </c>
      <c r="E17" s="77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147</v>
      </c>
      <c r="C18" s="156" t="s">
        <v>130</v>
      </c>
      <c r="D18" s="77">
        <v>1986</v>
      </c>
      <c r="E18" s="77">
        <v>2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L18" s="80">
        <v>1</v>
      </c>
      <c r="P18" s="80"/>
    </row>
    <row r="19" spans="1:16" ht="15" customHeight="1" x14ac:dyDescent="0.2">
      <c r="A19" s="121">
        <v>12</v>
      </c>
      <c r="B19" s="76" t="s">
        <v>132</v>
      </c>
      <c r="C19" s="77" t="s">
        <v>118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>
        <v>1</v>
      </c>
      <c r="K19" s="81"/>
      <c r="P19" s="80"/>
    </row>
    <row r="20" spans="1:16" ht="15" customHeight="1" x14ac:dyDescent="0.2">
      <c r="A20" s="121">
        <v>13</v>
      </c>
      <c r="B20" s="76" t="s">
        <v>115</v>
      </c>
      <c r="C20" s="156" t="s">
        <v>21</v>
      </c>
      <c r="D20" s="77">
        <v>1984</v>
      </c>
      <c r="E20" s="77">
        <v>2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141</v>
      </c>
      <c r="C21" s="77" t="s">
        <v>123</v>
      </c>
      <c r="D21" s="77"/>
      <c r="E21" s="77" t="s">
        <v>124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146</v>
      </c>
      <c r="C22" s="77" t="s">
        <v>118</v>
      </c>
      <c r="D22" s="77">
        <v>1982</v>
      </c>
      <c r="E22" s="77" t="s">
        <v>119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121</v>
      </c>
      <c r="C23" s="77" t="s">
        <v>21</v>
      </c>
      <c r="D23" s="77">
        <v>1990</v>
      </c>
      <c r="E23" s="77">
        <v>2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76" t="s">
        <v>122</v>
      </c>
      <c r="C24" s="77" t="s">
        <v>123</v>
      </c>
      <c r="D24" s="77"/>
      <c r="E24" s="78" t="s">
        <v>124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142</v>
      </c>
      <c r="C25" s="91" t="s">
        <v>123</v>
      </c>
      <c r="D25" s="77">
        <v>0</v>
      </c>
      <c r="E25" s="77" t="s">
        <v>124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139</v>
      </c>
      <c r="C26" s="156" t="s">
        <v>130</v>
      </c>
      <c r="D26" s="77">
        <v>1990</v>
      </c>
      <c r="E26" s="156" t="s">
        <v>124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148</v>
      </c>
      <c r="C27" s="77" t="s">
        <v>118</v>
      </c>
      <c r="D27" s="77">
        <v>1988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157" t="s">
        <v>144</v>
      </c>
      <c r="C28" s="156" t="s">
        <v>118</v>
      </c>
      <c r="D28" s="156"/>
      <c r="E28" s="156" t="s">
        <v>124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120</v>
      </c>
      <c r="C29" s="77" t="s">
        <v>21</v>
      </c>
      <c r="D29" s="77">
        <v>1985</v>
      </c>
      <c r="E29" s="77">
        <v>2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157" t="s">
        <v>117</v>
      </c>
      <c r="C30" s="156" t="s">
        <v>118</v>
      </c>
      <c r="D30" s="156">
        <v>1980</v>
      </c>
      <c r="E30" s="156" t="s">
        <v>119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76" t="s">
        <v>138</v>
      </c>
      <c r="C31" s="77" t="s">
        <v>118</v>
      </c>
      <c r="D31" s="77">
        <v>1985</v>
      </c>
      <c r="E31" s="77" t="s">
        <v>119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136</v>
      </c>
      <c r="C32" s="77" t="s">
        <v>21</v>
      </c>
      <c r="D32" s="77">
        <v>1989</v>
      </c>
      <c r="E32" s="77">
        <v>1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151</v>
      </c>
      <c r="C33" s="156" t="s">
        <v>21</v>
      </c>
      <c r="D33" s="77">
        <v>1989</v>
      </c>
      <c r="E33" s="77">
        <v>1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126</v>
      </c>
      <c r="C34" s="156" t="s">
        <v>118</v>
      </c>
      <c r="D34" s="77">
        <v>1983</v>
      </c>
      <c r="E34" s="77" t="s">
        <v>127</v>
      </c>
      <c r="F34" s="18">
        <v>1.0787037037037038E-4</v>
      </c>
      <c r="G34" s="18" t="s">
        <v>152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116</v>
      </c>
      <c r="C35" s="77" t="s">
        <v>21</v>
      </c>
      <c r="D35" s="77">
        <v>1991</v>
      </c>
      <c r="E35" s="77">
        <v>2</v>
      </c>
      <c r="F35" s="18" t="s">
        <v>152</v>
      </c>
      <c r="G35" s="18" t="s">
        <v>152</v>
      </c>
      <c r="H35" s="18" t="s">
        <v>152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135</v>
      </c>
      <c r="C36" s="77" t="s">
        <v>118</v>
      </c>
      <c r="D36" s="77"/>
      <c r="E36" s="77" t="s">
        <v>124</v>
      </c>
      <c r="F36" s="18" t="s">
        <v>152</v>
      </c>
      <c r="G36" s="119" t="s">
        <v>152</v>
      </c>
      <c r="H36" s="18" t="s">
        <v>152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150</v>
      </c>
      <c r="C37" s="77" t="s">
        <v>130</v>
      </c>
      <c r="D37" s="77">
        <v>1977</v>
      </c>
      <c r="E37" s="77">
        <v>2</v>
      </c>
      <c r="F37" s="18" t="s">
        <v>152</v>
      </c>
      <c r="G37" s="18" t="s">
        <v>152</v>
      </c>
      <c r="H37" s="18" t="s">
        <v>152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143</v>
      </c>
      <c r="C38" s="77" t="s">
        <v>21</v>
      </c>
      <c r="D38" s="77">
        <v>1986</v>
      </c>
      <c r="E38" s="78" t="s">
        <v>124</v>
      </c>
      <c r="F38" s="18" t="s">
        <v>153</v>
      </c>
      <c r="G38" s="18" t="s">
        <v>153</v>
      </c>
      <c r="H38" s="18" t="s">
        <v>153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82" t="str">
        <f>Стартовый!C40</f>
        <v>Калентеенков С. В. (с1к)</v>
      </c>
      <c r="D40" s="182"/>
      <c r="E40" s="182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82" t="str">
        <f>Стартовый!C41</f>
        <v>Калентеенкова С. Н. (с1к)</v>
      </c>
      <c r="D41" s="182"/>
      <c r="E41" s="182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C40:E40"/>
    <mergeCell ref="C41:E41"/>
    <mergeCell ref="A6:B6"/>
    <mergeCell ref="C6:E6"/>
    <mergeCell ref="J7:L7"/>
    <mergeCell ref="L2:O3"/>
    <mergeCell ref="A1:H1"/>
    <mergeCell ref="E2:H2"/>
    <mergeCell ref="A3:H3"/>
    <mergeCell ref="A4:H4"/>
    <mergeCell ref="J2:J5"/>
    <mergeCell ref="K2:K5"/>
    <mergeCell ref="L4:O5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I20" sqref="I20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89" t="str">
        <f>Стартовый!A2</f>
        <v>Спортивный фестиваль "Веселые старты"</v>
      </c>
      <c r="B1" s="189"/>
      <c r="C1" s="189"/>
      <c r="D1" s="189"/>
      <c r="E1" s="189"/>
      <c r="F1" s="189"/>
      <c r="G1" s="189"/>
      <c r="H1" s="189"/>
      <c r="I1" s="189"/>
      <c r="J1" s="189"/>
      <c r="K1" s="103"/>
      <c r="L1" s="116"/>
      <c r="Q1" s="93"/>
    </row>
    <row r="2" spans="1:18" s="93" customFormat="1" ht="15" customHeight="1" x14ac:dyDescent="0.2">
      <c r="A2" s="195" t="s">
        <v>21</v>
      </c>
      <c r="B2" s="195"/>
      <c r="C2" s="94"/>
      <c r="D2" s="94"/>
      <c r="E2" s="94"/>
      <c r="F2" s="94"/>
      <c r="G2" s="193" t="s">
        <v>114</v>
      </c>
      <c r="H2" s="193"/>
      <c r="I2" s="193"/>
      <c r="J2" s="19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s="92" customFormat="1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60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83" t="s">
        <v>0</v>
      </c>
      <c r="B6" s="183"/>
      <c r="C6" s="183"/>
      <c r="D6" s="183">
        <f>Стартовый!C6</f>
        <v>0</v>
      </c>
      <c r="E6" s="183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86" t="s">
        <v>67</v>
      </c>
      <c r="M7" s="186"/>
      <c r="N7" s="186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152</v>
      </c>
      <c r="I14" s="18" t="s">
        <v>152</v>
      </c>
      <c r="J14" s="18" t="s">
        <v>152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152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91" t="s">
        <v>16</v>
      </c>
      <c r="C25" s="192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92" t="s">
        <v>29</v>
      </c>
      <c r="C26" s="192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B25:C25"/>
    <mergeCell ref="B26:C26"/>
    <mergeCell ref="A6:C6"/>
    <mergeCell ref="G2:J2"/>
    <mergeCell ref="A3:J3"/>
    <mergeCell ref="A2:B2"/>
    <mergeCell ref="A4:J4"/>
    <mergeCell ref="L7:N7"/>
    <mergeCell ref="M2:R3"/>
    <mergeCell ref="M4:R5"/>
    <mergeCell ref="D6:E6"/>
    <mergeCell ref="A1:J1"/>
    <mergeCell ref="K2:L5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89" t="str">
        <f>Квалификация!$A$1</f>
        <v>Спортивный фестиваль "Веселые старты"</v>
      </c>
      <c r="B1" s="189"/>
      <c r="C1" s="189"/>
      <c r="D1" s="189"/>
      <c r="E1" s="189"/>
      <c r="F1" s="189"/>
      <c r="G1" s="189"/>
      <c r="H1" s="189"/>
      <c r="I1" s="189"/>
      <c r="J1" s="189"/>
      <c r="K1" s="104"/>
    </row>
    <row r="2" spans="1:18" ht="15" customHeight="1" x14ac:dyDescent="0.2">
      <c r="A2" s="195" t="s">
        <v>21</v>
      </c>
      <c r="B2" s="195"/>
      <c r="C2" s="48"/>
      <c r="D2" s="49"/>
      <c r="E2" s="49"/>
      <c r="F2" s="49"/>
      <c r="G2" s="163" t="s">
        <v>114</v>
      </c>
      <c r="H2" s="163"/>
      <c r="I2" s="163"/>
      <c r="J2" s="16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52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83" t="s">
        <v>0</v>
      </c>
      <c r="B6" s="183"/>
      <c r="C6" s="183"/>
      <c r="D6" s="183">
        <f>Стартовый!C6</f>
        <v>0</v>
      </c>
      <c r="E6" s="183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86" t="s">
        <v>67</v>
      </c>
      <c r="M7" s="186"/>
      <c r="N7" s="186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7" t="s">
        <v>16</v>
      </c>
      <c r="C17" s="197"/>
      <c r="D17" s="5" t="str">
        <f>Квалификация!$C$40</f>
        <v>Калентеенков С. В. (с1к)</v>
      </c>
    </row>
    <row r="18" spans="2:4" x14ac:dyDescent="0.2">
      <c r="B18" s="197" t="s">
        <v>17</v>
      </c>
      <c r="C18" s="197"/>
      <c r="D18" s="5" t="str">
        <f>Квалификация!$C$41</f>
        <v>Калентеенкова С. Н. (с1к)</v>
      </c>
    </row>
  </sheetData>
  <mergeCells count="13">
    <mergeCell ref="K2:L5"/>
    <mergeCell ref="M2:R3"/>
    <mergeCell ref="M4:R5"/>
    <mergeCell ref="A4:J4"/>
    <mergeCell ref="B18:C18"/>
    <mergeCell ref="B17:C17"/>
    <mergeCell ref="L7:N7"/>
    <mergeCell ref="A1:J1"/>
    <mergeCell ref="D6:E6"/>
    <mergeCell ref="A6:C6"/>
    <mergeCell ref="A2:B2"/>
    <mergeCell ref="G2:J2"/>
    <mergeCell ref="A3:J3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8" t="str">
        <f>Квалификация!$A$1</f>
        <v>Спортивный фестиваль "Веселые старты"</v>
      </c>
      <c r="B1" s="198"/>
      <c r="C1" s="198"/>
      <c r="D1" s="198"/>
      <c r="E1" s="198"/>
      <c r="F1" s="198"/>
      <c r="G1" s="198"/>
      <c r="H1" s="198"/>
      <c r="I1" s="198"/>
      <c r="J1" s="198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95" t="s">
        <v>21</v>
      </c>
      <c r="B2" s="195"/>
      <c r="C2" s="48"/>
      <c r="D2" s="49"/>
      <c r="E2" s="49"/>
      <c r="F2" s="49"/>
      <c r="G2" s="163" t="s">
        <v>114</v>
      </c>
      <c r="H2" s="163"/>
      <c r="I2" s="163"/>
      <c r="J2" s="163"/>
      <c r="K2" s="190" t="s">
        <v>48</v>
      </c>
      <c r="L2" s="190"/>
      <c r="M2" s="187" t="s">
        <v>45</v>
      </c>
      <c r="N2" s="187"/>
      <c r="O2" s="187"/>
      <c r="P2" s="187"/>
      <c r="Q2" s="187"/>
      <c r="R2" s="187"/>
    </row>
    <row r="3" spans="1:18" ht="17.100000000000001" customHeight="1" x14ac:dyDescent="0.25">
      <c r="A3" s="194" t="s">
        <v>27</v>
      </c>
      <c r="B3" s="194"/>
      <c r="C3" s="194"/>
      <c r="D3" s="194"/>
      <c r="E3" s="194"/>
      <c r="F3" s="194"/>
      <c r="G3" s="194"/>
      <c r="H3" s="194"/>
      <c r="I3" s="194"/>
      <c r="J3" s="194"/>
      <c r="K3" s="190"/>
      <c r="L3" s="190"/>
      <c r="M3" s="187"/>
      <c r="N3" s="187"/>
      <c r="O3" s="187"/>
      <c r="P3" s="187"/>
      <c r="Q3" s="187"/>
      <c r="R3" s="187"/>
    </row>
    <row r="4" spans="1:18" ht="15.95" customHeight="1" x14ac:dyDescent="0.2">
      <c r="A4" s="196" t="s">
        <v>53</v>
      </c>
      <c r="B4" s="196"/>
      <c r="C4" s="196"/>
      <c r="D4" s="196"/>
      <c r="E4" s="196"/>
      <c r="F4" s="196"/>
      <c r="G4" s="196"/>
      <c r="H4" s="196"/>
      <c r="I4" s="196"/>
      <c r="J4" s="196"/>
      <c r="K4" s="190"/>
      <c r="L4" s="190"/>
      <c r="M4" s="188" t="s">
        <v>46</v>
      </c>
      <c r="N4" s="188"/>
      <c r="O4" s="188"/>
      <c r="P4" s="188"/>
      <c r="Q4" s="188"/>
      <c r="R4" s="188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0"/>
      <c r="L5" s="190"/>
      <c r="M5" s="188"/>
      <c r="N5" s="188"/>
      <c r="O5" s="188"/>
      <c r="P5" s="188"/>
      <c r="Q5" s="188"/>
      <c r="R5" s="188"/>
    </row>
    <row r="6" spans="1:18" hidden="1" x14ac:dyDescent="0.2">
      <c r="A6" s="161" t="s">
        <v>0</v>
      </c>
      <c r="B6" s="161"/>
      <c r="C6" s="161"/>
      <c r="D6" s="161">
        <f>Стартовый!C6</f>
        <v>0</v>
      </c>
      <c r="E6" s="161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86" t="s">
        <v>67</v>
      </c>
      <c r="M7" s="186"/>
      <c r="N7" s="186"/>
      <c r="Q7"/>
    </row>
    <row r="8" spans="1:18" ht="15" customHeight="1" x14ac:dyDescent="0.2">
      <c r="A8" s="19">
        <v>1</v>
      </c>
      <c r="B8" s="199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200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9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200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7" t="s">
        <v>16</v>
      </c>
      <c r="C13" s="197"/>
      <c r="D13" s="5" t="str">
        <f>Квалификация!$C$40</f>
        <v>Калентеенков С. В. (с1к)</v>
      </c>
    </row>
    <row r="14" spans="1:18" ht="12.75" customHeight="1" x14ac:dyDescent="0.2">
      <c r="B14" s="197" t="s">
        <v>17</v>
      </c>
      <c r="C14" s="197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tabSelected="1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F14" sqref="F14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1" t="str">
        <f>Квалификация!$A$1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201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09" t="s">
        <v>21</v>
      </c>
      <c r="B2" s="209"/>
      <c r="C2" s="52"/>
      <c r="D2" s="52"/>
      <c r="E2" s="52"/>
      <c r="G2" s="163" t="s">
        <v>114</v>
      </c>
      <c r="H2" s="163"/>
      <c r="I2" s="163"/>
      <c r="J2" s="163"/>
      <c r="K2" s="175" t="s">
        <v>49</v>
      </c>
      <c r="L2" s="175"/>
      <c r="M2" s="211" t="s">
        <v>45</v>
      </c>
      <c r="N2" s="211"/>
      <c r="O2" s="211"/>
      <c r="P2" s="211"/>
      <c r="Q2" s="211"/>
    </row>
    <row r="3" spans="1:18" ht="17.100000000000001" customHeight="1" x14ac:dyDescent="0.25">
      <c r="A3" s="202" t="s">
        <v>27</v>
      </c>
      <c r="B3" s="202"/>
      <c r="C3" s="202"/>
      <c r="D3" s="202"/>
      <c r="E3" s="202"/>
      <c r="F3" s="202"/>
      <c r="G3" s="202"/>
      <c r="H3" s="202"/>
      <c r="I3" s="202"/>
      <c r="J3" s="202"/>
      <c r="K3" s="175"/>
      <c r="L3" s="175"/>
      <c r="M3" s="211"/>
      <c r="N3" s="211"/>
      <c r="O3" s="211"/>
      <c r="P3" s="211"/>
      <c r="Q3" s="211"/>
    </row>
    <row r="4" spans="1:18" ht="18" customHeight="1" x14ac:dyDescent="0.2">
      <c r="A4" s="203" t="s">
        <v>54</v>
      </c>
      <c r="B4" s="203"/>
      <c r="C4" s="203"/>
      <c r="D4" s="203"/>
      <c r="E4" s="203"/>
      <c r="F4" s="203"/>
      <c r="G4" s="203"/>
      <c r="H4" s="203"/>
      <c r="I4" s="203"/>
      <c r="J4" s="203"/>
      <c r="K4" s="175"/>
      <c r="L4" s="175"/>
      <c r="M4" s="188" t="s">
        <v>46</v>
      </c>
      <c r="N4" s="188"/>
      <c r="O4" s="188"/>
      <c r="P4" s="188"/>
      <c r="Q4" s="188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5"/>
      <c r="L5" s="175"/>
      <c r="M5" s="188"/>
      <c r="N5" s="188"/>
      <c r="O5" s="188"/>
      <c r="P5" s="188"/>
      <c r="Q5" s="188"/>
    </row>
    <row r="6" spans="1:18" ht="12.75" hidden="1" customHeight="1" x14ac:dyDescent="0.2">
      <c r="A6" s="183" t="s">
        <v>0</v>
      </c>
      <c r="B6" s="183"/>
      <c r="C6" s="183">
        <f>Стартовый!C6</f>
        <v>0</v>
      </c>
      <c r="D6" s="183"/>
      <c r="E6" s="183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4" t="s">
        <v>13</v>
      </c>
      <c r="B7" s="204"/>
      <c r="C7" s="204"/>
      <c r="D7" s="204"/>
      <c r="E7" s="204"/>
      <c r="F7" s="204"/>
      <c r="G7" s="204"/>
      <c r="H7" s="204"/>
      <c r="I7" s="204"/>
      <c r="J7" s="204"/>
      <c r="K7" s="214" t="s">
        <v>67</v>
      </c>
      <c r="L7" s="214"/>
    </row>
    <row r="8" spans="1:18" ht="15" customHeight="1" x14ac:dyDescent="0.2">
      <c r="A8" s="15" t="s">
        <v>1</v>
      </c>
      <c r="B8" s="15" t="s">
        <v>59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0" t="s">
        <v>14</v>
      </c>
      <c r="J8" s="210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08"/>
      <c r="J9" s="207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12"/>
      <c r="J10" s="213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5" t="s">
        <v>12</v>
      </c>
      <c r="B12" s="205"/>
      <c r="C12" s="205"/>
      <c r="D12" s="205"/>
      <c r="E12" s="205"/>
      <c r="F12" s="205"/>
      <c r="G12" s="205"/>
      <c r="H12" s="205"/>
      <c r="I12" s="205"/>
      <c r="J12" s="205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06"/>
      <c r="J13" s="207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06"/>
      <c r="J14" s="207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7" t="str">
        <f>Квалификация!$C$40</f>
        <v>Калентеенков С. В. (с1к)</v>
      </c>
      <c r="D16" s="197"/>
      <c r="E16" s="197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7" t="str">
        <f>Квалификация!$C$41</f>
        <v>Калентеенкова С. Н. (с1к)</v>
      </c>
      <c r="D17" s="197"/>
      <c r="E17" s="197"/>
    </row>
  </sheetData>
  <mergeCells count="20">
    <mergeCell ref="M2:Q3"/>
    <mergeCell ref="K2:L5"/>
    <mergeCell ref="M4:Q5"/>
    <mergeCell ref="I10:J10"/>
    <mergeCell ref="K7:L7"/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13"/>
      <c r="K1" s="55"/>
      <c r="L1" s="7"/>
      <c r="M1" s="7"/>
    </row>
    <row r="2" spans="1:13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  <c r="M2" s="7"/>
    </row>
    <row r="3" spans="1:13" ht="17.100000000000001" customHeight="1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  <c r="L3" s="7"/>
      <c r="M3" s="7"/>
    </row>
    <row r="4" spans="1:13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59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3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13"/>
      <c r="K1" s="55"/>
      <c r="L1" s="7"/>
    </row>
    <row r="2" spans="1:12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</row>
    <row r="3" spans="1:12" ht="15.75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  <c r="L3" s="7"/>
    </row>
    <row r="4" spans="1:12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2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1" t="str">
        <f>Квалификация!A1</f>
        <v>Спортивный фестиваль "Веселые старты"</v>
      </c>
      <c r="B1" s="201"/>
      <c r="C1" s="201"/>
      <c r="D1" s="201"/>
      <c r="E1" s="201"/>
      <c r="F1" s="201"/>
      <c r="G1" s="201"/>
      <c r="H1" s="201"/>
      <c r="I1" s="201"/>
      <c r="J1" s="55"/>
      <c r="K1" s="7"/>
    </row>
    <row r="2" spans="1:11" ht="15.75" x14ac:dyDescent="0.25">
      <c r="A2" s="209" t="s">
        <v>21</v>
      </c>
      <c r="B2" s="209"/>
      <c r="C2" s="8"/>
      <c r="D2" s="8"/>
      <c r="E2" s="8"/>
      <c r="F2" s="163" t="s">
        <v>114</v>
      </c>
      <c r="G2" s="163"/>
      <c r="H2" s="163"/>
      <c r="I2" s="163"/>
      <c r="J2" s="8"/>
      <c r="K2" s="7"/>
    </row>
    <row r="3" spans="1:11" ht="15.75" x14ac:dyDescent="0.25">
      <c r="A3" s="202" t="s">
        <v>30</v>
      </c>
      <c r="B3" s="202"/>
      <c r="C3" s="202"/>
      <c r="D3" s="202"/>
      <c r="E3" s="202"/>
      <c r="F3" s="202"/>
      <c r="G3" s="202"/>
      <c r="H3" s="202"/>
      <c r="I3" s="202"/>
      <c r="J3" s="7"/>
      <c r="K3" s="7"/>
    </row>
    <row r="4" spans="1:11" ht="15.95" customHeight="1" x14ac:dyDescent="0.2">
      <c r="A4" s="203" t="s">
        <v>55</v>
      </c>
      <c r="B4" s="203"/>
      <c r="C4" s="203"/>
      <c r="D4" s="203"/>
      <c r="E4" s="203"/>
      <c r="F4" s="203"/>
      <c r="G4" s="203"/>
      <c r="H4" s="203"/>
      <c r="I4" s="203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83">
        <f>Стартовый!C6</f>
        <v>0</v>
      </c>
      <c r="D6" s="183"/>
      <c r="E6" s="183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1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workbookViewId="0">
      <selection activeCell="E10" sqref="E10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47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56</v>
      </c>
      <c r="D2" s="4" t="s">
        <v>57</v>
      </c>
      <c r="F2" t="s">
        <v>114</v>
      </c>
    </row>
    <row r="3" spans="1:16" ht="56.25" customHeight="1" x14ac:dyDescent="0.2">
      <c r="A3" s="66" t="s">
        <v>32</v>
      </c>
      <c r="B3" s="67">
        <v>0</v>
      </c>
      <c r="C3" s="2"/>
      <c r="D3" s="2"/>
    </row>
    <row r="4" spans="1:16" ht="21.95" customHeight="1" x14ac:dyDescent="0.2">
      <c r="A4" s="217" t="s">
        <v>55</v>
      </c>
      <c r="B4" s="67" t="s">
        <v>33</v>
      </c>
      <c r="C4" s="67" t="s">
        <v>34</v>
      </c>
      <c r="D4" s="2"/>
    </row>
    <row r="5" spans="1:16" ht="21.95" customHeight="1" x14ac:dyDescent="0.2">
      <c r="A5" s="217"/>
      <c r="B5" s="68">
        <v>43468</v>
      </c>
      <c r="C5" s="68"/>
      <c r="D5" s="68"/>
    </row>
    <row r="6" spans="1:16" ht="27.75" hidden="1" customHeight="1" x14ac:dyDescent="0.2">
      <c r="A6" s="66" t="s">
        <v>35</v>
      </c>
      <c r="B6" s="67">
        <v>2009</v>
      </c>
      <c r="C6" s="2"/>
      <c r="D6" s="2"/>
    </row>
    <row r="7" spans="1:16" ht="51" x14ac:dyDescent="0.2">
      <c r="A7" s="66" t="s">
        <v>36</v>
      </c>
      <c r="B7" s="67">
        <v>0</v>
      </c>
      <c r="C7" s="2" t="s">
        <v>2</v>
      </c>
      <c r="D7" s="2"/>
    </row>
    <row r="8" spans="1:16" ht="38.25" x14ac:dyDescent="0.2">
      <c r="A8" s="66" t="s">
        <v>37</v>
      </c>
      <c r="B8" s="67">
        <v>0</v>
      </c>
      <c r="C8" s="2"/>
      <c r="D8" s="2"/>
    </row>
    <row r="9" spans="1:16" ht="38.25" x14ac:dyDescent="0.2">
      <c r="A9" s="66" t="s">
        <v>38</v>
      </c>
      <c r="B9" s="67">
        <v>0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18" t="s">
        <v>40</v>
      </c>
      <c r="B11" s="218"/>
      <c r="C11" s="218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1662062903</v>
      </c>
      <c r="C13" s="65" t="str">
        <f>CONCATENATE(Hexadimical(B13),"h")</f>
        <v>63111137h</v>
      </c>
      <c r="D13" s="106">
        <v>588321027</v>
      </c>
    </row>
    <row r="14" spans="1:16" ht="25.5" customHeight="1" thickTop="1" thickBot="1" x14ac:dyDescent="0.3">
      <c r="A14" s="219" t="s">
        <v>43</v>
      </c>
      <c r="B14" s="218">
        <v>23</v>
      </c>
      <c r="C14" s="2"/>
      <c r="D14" s="145" t="s">
        <v>42</v>
      </c>
      <c r="E14" s="220" t="s">
        <v>112</v>
      </c>
      <c r="F14" s="221"/>
      <c r="G14" s="215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16"/>
    </row>
    <row r="15" spans="1:16" ht="27" customHeight="1" thickTop="1" x14ac:dyDescent="0.2">
      <c r="A15" s="219"/>
      <c r="B15" s="218"/>
      <c r="C15" s="2"/>
      <c r="D15" s="143"/>
      <c r="E15" s="152" t="s">
        <v>79</v>
      </c>
      <c r="F15" s="153" t="s">
        <v>78</v>
      </c>
      <c r="G15" s="153" t="s">
        <v>80</v>
      </c>
      <c r="H15" s="152" t="s">
        <v>79</v>
      </c>
      <c r="I15" s="122" t="s">
        <v>78</v>
      </c>
      <c r="J15" s="122" t="s">
        <v>80</v>
      </c>
      <c r="K15" s="123" t="s">
        <v>79</v>
      </c>
      <c r="L15" s="122" t="s">
        <v>78</v>
      </c>
      <c r="M15" s="122" t="s">
        <v>80</v>
      </c>
      <c r="N15" s="123" t="s">
        <v>79</v>
      </c>
      <c r="O15" s="122" t="s">
        <v>78</v>
      </c>
      <c r="P15" s="124" t="s">
        <v>80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22" t="s">
        <v>68</v>
      </c>
      <c r="F16" s="223"/>
      <c r="G16" s="225"/>
      <c r="H16" s="222" t="s">
        <v>69</v>
      </c>
      <c r="I16" s="223"/>
      <c r="J16" s="225"/>
      <c r="K16" s="222" t="s">
        <v>81</v>
      </c>
      <c r="L16" s="223"/>
      <c r="M16" s="225"/>
      <c r="N16" s="222" t="s">
        <v>70</v>
      </c>
      <c r="O16" s="223"/>
      <c r="P16" s="224"/>
    </row>
    <row r="17" spans="1:16" ht="39.950000000000003" customHeight="1" x14ac:dyDescent="0.2">
      <c r="A17" t="s">
        <v>14</v>
      </c>
      <c r="B17" t="s">
        <v>61</v>
      </c>
      <c r="D17" s="133" t="s">
        <v>71</v>
      </c>
      <c r="E17" s="125" t="s">
        <v>82</v>
      </c>
      <c r="F17" s="126" t="str">
        <f>IF(IsSetBit32($B$13,0),"1 (True)","0 (False)")</f>
        <v>1 (True)</v>
      </c>
      <c r="G17" s="137"/>
      <c r="H17" s="125" t="s">
        <v>98</v>
      </c>
      <c r="I17" s="126" t="str">
        <f>IF(IsSetBit32($B$13,1),"1 (True)","0 (False)")</f>
        <v>1 (True)</v>
      </c>
      <c r="J17" s="137"/>
      <c r="K17" s="125" t="s">
        <v>105</v>
      </c>
      <c r="L17" s="126" t="str">
        <f>IF(IsSetBit32($B$13,2),"1 (True)","0 (False)")</f>
        <v>1 (True)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72</v>
      </c>
      <c r="E18" s="128" t="s">
        <v>92</v>
      </c>
      <c r="F18" s="129" t="str">
        <f>IF(IsSetBit32($B$13,4),"1 (True)","0 (False)")</f>
        <v>1 (True)</v>
      </c>
      <c r="G18" s="138"/>
      <c r="H18" s="128" t="s">
        <v>99</v>
      </c>
      <c r="I18" s="129" t="str">
        <f>IF(IsSetBit32($B$13,5),"1 (True)","0 (False)")</f>
        <v>1 (True)</v>
      </c>
      <c r="J18" s="138"/>
      <c r="K18" s="128" t="s">
        <v>106</v>
      </c>
      <c r="L18" s="129" t="str">
        <f>IF(IsSetBit32($B$13,6),"1 (True)","0 (False)")</f>
        <v>0 (False)</v>
      </c>
      <c r="M18" s="138"/>
      <c r="N18" s="128" t="s">
        <v>83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73</v>
      </c>
      <c r="E19" s="125" t="s">
        <v>93</v>
      </c>
      <c r="F19" s="126" t="str">
        <f>IF(IsSetBit32($B$13,8),"1 (True)","0 (False)")</f>
        <v>1 (True)</v>
      </c>
      <c r="G19" s="137"/>
      <c r="H19" s="125" t="s">
        <v>101</v>
      </c>
      <c r="I19" s="126" t="str">
        <f>IF(IsSetBit32($B$13,9),"1 (True)","0 (False)")</f>
        <v>0 (False)</v>
      </c>
      <c r="J19" s="137"/>
      <c r="K19" s="125" t="s">
        <v>107</v>
      </c>
      <c r="L19" s="126" t="str">
        <f>IF(IsSetBit32($B$13,10),"1 (True)","0 (False)")</f>
        <v>0 (False)</v>
      </c>
      <c r="M19" s="137"/>
      <c r="N19" s="125" t="s">
        <v>84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74</v>
      </c>
      <c r="E20" s="128" t="s">
        <v>94</v>
      </c>
      <c r="F20" s="129" t="str">
        <f>IF(IsSetBit32($B$13,12),"1 (True)","0 (False)")</f>
        <v>1 (True)</v>
      </c>
      <c r="G20" s="138"/>
      <c r="H20" s="128" t="s">
        <v>100</v>
      </c>
      <c r="I20" s="129" t="str">
        <f>IF(IsSetBit32($B$13,13),"1 (True)","0 (False)")</f>
        <v>0 (False)</v>
      </c>
      <c r="J20" s="138"/>
      <c r="K20" s="128" t="s">
        <v>108</v>
      </c>
      <c r="L20" s="129" t="str">
        <f>IF(IsSetBit32($B$13,14),"1 (True)","0 (False)")</f>
        <v>0 (False)</v>
      </c>
      <c r="M20" s="138"/>
      <c r="N20" s="128" t="s">
        <v>85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88</v>
      </c>
      <c r="E21" s="125" t="s">
        <v>95</v>
      </c>
      <c r="F21" s="126" t="str">
        <f>IF(IsSetBit32($B$13,16),"1 (True)","0 (False)")</f>
        <v>1 (True)</v>
      </c>
      <c r="G21" s="137"/>
      <c r="H21" s="125" t="s">
        <v>102</v>
      </c>
      <c r="I21" s="126" t="str">
        <f>IF(IsSetBit32($B$13,17),"1 (True)","0 (False)")</f>
        <v>0 (False)</v>
      </c>
      <c r="J21" s="137"/>
      <c r="K21" s="125" t="s">
        <v>109</v>
      </c>
      <c r="L21" s="126" t="str">
        <f>IF(IsSetBit32($B$13,18),"1 (True)","0 (False)")</f>
        <v>0 (False)</v>
      </c>
      <c r="M21" s="137"/>
      <c r="N21" s="125" t="s">
        <v>86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75</v>
      </c>
      <c r="E22" s="128" t="s">
        <v>96</v>
      </c>
      <c r="F22" s="129" t="str">
        <f>IF(IsSetBit32($B$13,20),"1 (True)","0 (False)")</f>
        <v>1 (True)</v>
      </c>
      <c r="G22" s="138"/>
      <c r="H22" s="128" t="s">
        <v>103</v>
      </c>
      <c r="I22" s="129" t="str">
        <f>IF(IsSetBit32($B$13,21),"1 (True)","0 (False)")</f>
        <v>0 (False)</v>
      </c>
      <c r="J22" s="138"/>
      <c r="K22" s="128" t="s">
        <v>110</v>
      </c>
      <c r="L22" s="129" t="str">
        <f>IF(IsSetBit32($B$13,22),"1 (True)","0 (False)")</f>
        <v>0 (False)</v>
      </c>
      <c r="M22" s="138"/>
      <c r="N22" s="128" t="s">
        <v>87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76</v>
      </c>
      <c r="E23" s="125" t="s">
        <v>97</v>
      </c>
      <c r="F23" s="126" t="str">
        <f>IF(IsSetBit32($B$13,24),"1 (True)","0 (False)")</f>
        <v>1 (True)</v>
      </c>
      <c r="G23" s="137"/>
      <c r="H23" s="125" t="s">
        <v>104</v>
      </c>
      <c r="I23" s="126" t="str">
        <f>IF(IsSetBit32($B$13,25),"1 (True)","0 (False)")</f>
        <v>1 (True)</v>
      </c>
      <c r="J23" s="137"/>
      <c r="K23" s="125" t="s">
        <v>111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77</v>
      </c>
      <c r="E24" s="130" t="s">
        <v>91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89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90</v>
      </c>
      <c r="L24" s="131" t="str">
        <f>IF(IsSetBit32($B$13,30),"1 (Автоматически сохранять результаты в БД)","0 (Сохранение по нажатию кнопки Сохранить в БД)")</f>
        <v>1 (Автоматически сохранять результаты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0" t="s">
        <v>112</v>
      </c>
      <c r="F26" s="221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113</v>
      </c>
      <c r="F27" s="228" t="s">
        <v>78</v>
      </c>
      <c r="G27" s="229"/>
      <c r="H27" s="148" t="s">
        <v>80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27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26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27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26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2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27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2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26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30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31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F29:G29"/>
    <mergeCell ref="F28:G28"/>
    <mergeCell ref="F27:G27"/>
    <mergeCell ref="F34:G34"/>
    <mergeCell ref="F33:G33"/>
    <mergeCell ref="F32:G32"/>
    <mergeCell ref="F31:G31"/>
    <mergeCell ref="F30:G30"/>
    <mergeCell ref="N16:P16"/>
    <mergeCell ref="K16:M16"/>
    <mergeCell ref="H16:J16"/>
    <mergeCell ref="E16:G16"/>
    <mergeCell ref="E26:F26"/>
    <mergeCell ref="G14:H14"/>
    <mergeCell ref="A4:A5"/>
    <mergeCell ref="A11:C11"/>
    <mergeCell ref="A14:A15"/>
    <mergeCell ref="B14:B15"/>
    <mergeCell ref="E14:F14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18</vt:i4>
      </vt:variant>
    </vt:vector>
  </HeadingPairs>
  <TitlesOfParts>
    <vt:vector size="28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CompNameIndex</vt:lpstr>
      <vt:lpstr>EndCompDate</vt:lpstr>
      <vt:lpstr>EndGroupYearIndex</vt:lpstr>
      <vt:lpstr>FLAGS</vt:lpstr>
      <vt:lpstr>HideFlags</vt:lpstr>
      <vt:lpstr>InitOnSheetFlagsValue</vt:lpstr>
      <vt:lpstr>MainJudgeIndex</vt:lpstr>
      <vt:lpstr>MainSecretaryIndex</vt:lpstr>
      <vt:lpstr>OnSheetFlags</vt:lpstr>
      <vt:lpstr>Request</vt:lpstr>
      <vt:lpstr>Row6Index</vt:lpstr>
      <vt:lpstr>StartCompDate</vt:lpstr>
      <vt:lpstr>StartGroupYear</vt:lpstr>
      <vt:lpstr>TransFlags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2019-02-26T16:44:38Z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